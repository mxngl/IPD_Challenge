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ion and Materials" sheetId="1" r:id="rId5"/>
    <sheet state="visible" name="Use Phase" sheetId="2" r:id="rId6"/>
    <sheet state="visible" name="Results" sheetId="3" r:id="rId7"/>
    <sheet state="hidden" name="Cogen Data" sheetId="4" r:id="rId8"/>
    <sheet state="hidden" name="LCA Data" sheetId="5" r:id="rId9"/>
    <sheet state="visible" name="Lists" sheetId="6" r:id="rId10"/>
  </sheets>
  <definedNames>
    <definedName name="Assemblies">Lists!$A$2:$A$9</definedName>
  </definedNames>
  <calcPr/>
</workbook>
</file>

<file path=xl/sharedStrings.xml><?xml version="1.0" encoding="utf-8"?>
<sst xmlns="http://schemas.openxmlformats.org/spreadsheetml/2006/main" count="759" uniqueCount="325">
  <si>
    <r>
      <rPr>
        <rFont val="Arial"/>
        <b/>
        <color theme="1"/>
        <sz val="16.0"/>
      </rPr>
      <t>Construction &amp; Materials Embodied Impacts</t>
    </r>
  </si>
  <si>
    <t>Inventory and Impact Assessment</t>
  </si>
  <si>
    <t>Team:</t>
  </si>
  <si>
    <t>Island</t>
  </si>
  <si>
    <t>STV Progress</t>
  </si>
  <si>
    <t>GWP (kgCO2e)</t>
  </si>
  <si>
    <t>Energy (MJ)</t>
  </si>
  <si>
    <t>Water (kg)</t>
  </si>
  <si>
    <t>ODP (kgCFC11e)</t>
  </si>
  <si>
    <t>Ozone Depletion Potential</t>
  </si>
  <si>
    <t>Target</t>
  </si>
  <si>
    <t>(minimize)</t>
  </si>
  <si>
    <t>Embodied</t>
  </si>
  <si>
    <t>Used%</t>
  </si>
  <si>
    <t>-</t>
  </si>
  <si>
    <t>Use Phase</t>
  </si>
  <si>
    <t>Total%</t>
  </si>
  <si>
    <t>Assembly</t>
  </si>
  <si>
    <t>Material/Type</t>
  </si>
  <si>
    <t>Amount</t>
  </si>
  <si>
    <t>Cell Range</t>
  </si>
  <si>
    <t>Sum?</t>
  </si>
  <si>
    <t>Num</t>
  </si>
  <si>
    <t>MEP</t>
  </si>
  <si>
    <t>Stainless Steel Duct (kg)</t>
  </si>
  <si>
    <t xml:space="preserve"> </t>
  </si>
  <si>
    <t>Air Handling Unit (m^3/s)</t>
  </si>
  <si>
    <t>Floor</t>
  </si>
  <si>
    <t>Wood System (sf)</t>
  </si>
  <si>
    <t>Columns</t>
  </si>
  <si>
    <t>Wood Column (kg)</t>
  </si>
  <si>
    <t>Foundation</t>
  </si>
  <si>
    <t>Concrete Slab (cy)</t>
  </si>
  <si>
    <t>Interior Wall</t>
  </si>
  <si>
    <t>Curtain Wall (sf)</t>
  </si>
  <si>
    <t>Pick Assembly</t>
  </si>
  <si>
    <t>Pick Type</t>
  </si>
  <si>
    <t>Use Phase Impacts</t>
  </si>
  <si>
    <t>Annual Impacts</t>
  </si>
  <si>
    <t>Energy Use</t>
  </si>
  <si>
    <t>Electricity Drawn from Grid:</t>
  </si>
  <si>
    <t>kWh</t>
  </si>
  <si>
    <t>On-site Renewable Electricity:</t>
  </si>
  <si>
    <t>Fuel Type</t>
  </si>
  <si>
    <t>Select Fuel</t>
  </si>
  <si>
    <t>Electricity Split</t>
  </si>
  <si>
    <t>Heating</t>
  </si>
  <si>
    <t>MJ</t>
  </si>
  <si>
    <t>Heating Split</t>
  </si>
  <si>
    <t>Cooling</t>
  </si>
  <si>
    <t>Cooling Split</t>
  </si>
  <si>
    <t>Natural Gas Use:</t>
  </si>
  <si>
    <t>m^3</t>
  </si>
  <si>
    <t>Water Use</t>
  </si>
  <si>
    <t>Toilet Flow Rate:</t>
  </si>
  <si>
    <t>gal/flush</t>
  </si>
  <si>
    <t>Urinal Flow Rate:</t>
  </si>
  <si>
    <t>WC Sink Flow Rate:</t>
  </si>
  <si>
    <t>gal/min</t>
  </si>
  <si>
    <t>Lab Sink Flow Rate:</t>
  </si>
  <si>
    <t>Kitchen Sink Flow Rate:</t>
  </si>
  <si>
    <t>Shower Flow Rate:</t>
  </si>
  <si>
    <t>Landscaping Water Use:</t>
  </si>
  <si>
    <t>gal</t>
  </si>
  <si>
    <t>Total</t>
  </si>
  <si>
    <t>Rainwater Collection:</t>
  </si>
  <si>
    <t>Life Cycle Assessment Results Overview</t>
  </si>
  <si>
    <t>Total Life Cycle Impacts</t>
  </si>
  <si>
    <t>Performance Relative to Life Cycle Impact Targets</t>
  </si>
  <si>
    <t>Impact</t>
  </si>
  <si>
    <t>Project</t>
  </si>
  <si>
    <t>%</t>
  </si>
  <si>
    <t>Carbon (kgCO2e)</t>
  </si>
  <si>
    <t>Water (kgH2O)</t>
  </si>
  <si>
    <t>Ozone (kgCFC11e)</t>
  </si>
  <si>
    <t>Breakdown of Embodied vs. Use Phase Impacts</t>
  </si>
  <si>
    <t>Use-Phase</t>
  </si>
  <si>
    <t>Materials</t>
  </si>
  <si>
    <t>Transport</t>
  </si>
  <si>
    <t>Construction</t>
  </si>
  <si>
    <t>Electricity</t>
  </si>
  <si>
    <t>Life Cycle</t>
  </si>
  <si>
    <t>%Total</t>
  </si>
  <si>
    <t>Embodied Carbon (kgCO2e)</t>
  </si>
  <si>
    <t>Total Life Cycle Carbon (kgCO2e)</t>
  </si>
  <si>
    <t>Embodied Energy (MJ)</t>
  </si>
  <si>
    <t>Total Life Cycle Energy (MJ)</t>
  </si>
  <si>
    <t>Embodied Water (kgH2O)</t>
  </si>
  <si>
    <t>Total Life Cycle Water (kgH2O)</t>
  </si>
  <si>
    <t>Embodied ODP (kgCFC11e)</t>
  </si>
  <si>
    <t>Total Life Cycle ODP (kgCFC11e)</t>
  </si>
  <si>
    <t>Carbon (kgCO2e) Accrual Over Project Life</t>
  </si>
  <si>
    <t>Excess Carbon</t>
  </si>
  <si>
    <t>mtCO2e</t>
  </si>
  <si>
    <t>Total Cost</t>
  </si>
  <si>
    <t>FU unit</t>
  </si>
  <si>
    <t>kg/m^3</t>
  </si>
  <si>
    <t>CO2</t>
  </si>
  <si>
    <t>H2O</t>
  </si>
  <si>
    <t>ODP</t>
  </si>
  <si>
    <t>MJ/kg</t>
  </si>
  <si>
    <t>kgCO2/MJ</t>
  </si>
  <si>
    <t>http://www.ocean.washington.edu/courses/envir215/energynumbers.pdf</t>
  </si>
  <si>
    <t>Lignite</t>
  </si>
  <si>
    <t>kg</t>
  </si>
  <si>
    <t>https://www.princeton.edu/~achaney/tmve/wiki100k/docs/Lignite.html</t>
  </si>
  <si>
    <t>Anthracite</t>
  </si>
  <si>
    <t>http://en.wikipedia.org/wiki/Anthracite</t>
  </si>
  <si>
    <t>Gasoline</t>
  </si>
  <si>
    <t>http://cta.ornl.gov/bedb/appendix_a/Lower_and_Higher_Heating_Values_of_Gas_Liquid_and_Solid_Fuels.pdf</t>
  </si>
  <si>
    <t>Diesel</t>
  </si>
  <si>
    <t>m^3--&gt;kg</t>
  </si>
  <si>
    <t>http://www.biogas-renewable-energy.info/biogas_composition.html</t>
  </si>
  <si>
    <t>Heavy Fuel Oil</t>
  </si>
  <si>
    <t>http://www.biomassenergycentre.org.uk/portal/page?_pageid=75,163182&amp;_dad=portal&amp;_schema=PORTAL</t>
  </si>
  <si>
    <t>Corn Ethanol</t>
  </si>
  <si>
    <t>http://wogone.com/science/the_energy_and_fuel_data_sheet.pdf</t>
  </si>
  <si>
    <t>Natural Gas</t>
  </si>
  <si>
    <t>http://cdm.unfccc.int/Panels/ssc_wg/SSCWG05_repan_07_Scenario_NRB2RB.pdf</t>
  </si>
  <si>
    <t>Propane</t>
  </si>
  <si>
    <t>http://www.biogas.org.nz/background.asp</t>
  </si>
  <si>
    <t>Sewage Biogas</t>
  </si>
  <si>
    <t>Wood Pellet</t>
  </si>
  <si>
    <t>Team</t>
  </si>
  <si>
    <t>Elec. Nu</t>
  </si>
  <si>
    <t>Therm. Nu</t>
  </si>
  <si>
    <t>Cool. Nu</t>
  </si>
  <si>
    <t>Tot. Nu</t>
  </si>
  <si>
    <t>Elec. Frac.</t>
  </si>
  <si>
    <t>Therm. Frac</t>
  </si>
  <si>
    <t>Cool. Frac</t>
  </si>
  <si>
    <t>Express</t>
  </si>
  <si>
    <t>Central</t>
  </si>
  <si>
    <t>Pacific</t>
  </si>
  <si>
    <t>Atlantic</t>
  </si>
  <si>
    <t>Life Cycle Impact Assessment Data</t>
  </si>
  <si>
    <t>1 Construction and Materials</t>
  </si>
  <si>
    <t>Life Units</t>
  </si>
  <si>
    <t>No.</t>
  </si>
  <si>
    <t>tanker per tkm</t>
  </si>
  <si>
    <t>gwp</t>
  </si>
  <si>
    <t>Strip Foundation (cy)</t>
  </si>
  <si>
    <t>mj</t>
  </si>
  <si>
    <t>Mat and Pile (cy)</t>
  </si>
  <si>
    <t>water</t>
  </si>
  <si>
    <t>Novacem Concrete Slab (cy)</t>
  </si>
  <si>
    <t>Novacem Strip Foundation (cy)</t>
  </si>
  <si>
    <t>Novacem Mat and Pile (cy)</t>
  </si>
  <si>
    <t>Novacem Subtraction (per cy concrete)</t>
  </si>
  <si>
    <t>odp</t>
  </si>
  <si>
    <t>Steel Studs and Painted Gypsum (sf)</t>
  </si>
  <si>
    <t>Timber Studs and Painted Gypsum (sf)</t>
  </si>
  <si>
    <t>Concrete and Painted Gypsum (sf)</t>
  </si>
  <si>
    <t>Painted Concrete (sf)</t>
  </si>
  <si>
    <t>Exterior Wall</t>
  </si>
  <si>
    <t>Curtain Wall Triple Pane (sf)</t>
  </si>
  <si>
    <t>Curtain Wall Double Pane (sf)</t>
  </si>
  <si>
    <t>Qbiss Curtain Wall (sf)</t>
  </si>
  <si>
    <t>Brick on Concrete (sf)</t>
  </si>
  <si>
    <t>Recycled Brick (sf)</t>
  </si>
  <si>
    <t>Concrete Cladding (sf)</t>
  </si>
  <si>
    <t>Novacem Subtraction (per sf concrete cladding)</t>
  </si>
  <si>
    <t>Novacem Concrete Cladding (sf)</t>
  </si>
  <si>
    <t>EIFS on Metal Stud (sf)</t>
  </si>
  <si>
    <t>Structurally Insulated Panels (sf)</t>
  </si>
  <si>
    <t>Brick on Metal Stud (sf)</t>
  </si>
  <si>
    <t>Concrete (sf)</t>
  </si>
  <si>
    <t>Concrete and Carpet (sf)</t>
  </si>
  <si>
    <t>Concrete and Ceramic (sf)</t>
  </si>
  <si>
    <t>Bubble Deck (sf)</t>
  </si>
  <si>
    <t>Epicore (sf)</t>
  </si>
  <si>
    <t>Novacem Concrete (sf)</t>
  </si>
  <si>
    <t>Novacem Concrete and Carpet (sf)</t>
  </si>
  <si>
    <t>Novacem Concrete and Ceramic (sf)</t>
  </si>
  <si>
    <t>Novacem Subtraction (per sf concrete flooring)</t>
  </si>
  <si>
    <t>Carpet (sf)</t>
  </si>
  <si>
    <t>Roof</t>
  </si>
  <si>
    <t>Steel Structure (sf)</t>
  </si>
  <si>
    <t>Wood Structure (sf)</t>
  </si>
  <si>
    <t>Noxite Membrane (sf)</t>
  </si>
  <si>
    <t>EPDM Membrane (sf)</t>
  </si>
  <si>
    <t>Polystyrene Insulation (sf)</t>
  </si>
  <si>
    <t>Green Roof (sf)</t>
  </si>
  <si>
    <t>Fiberglass Insulation (sf)</t>
  </si>
  <si>
    <t>BioPCM Phase Changing Insulation (sf)</t>
  </si>
  <si>
    <t>Asphalt Shingle (sf)</t>
  </si>
  <si>
    <t>Window</t>
  </si>
  <si>
    <t>Single Pane Aluminum Frame (sf)</t>
  </si>
  <si>
    <t>Single Pane Plastic Frame (sf)</t>
  </si>
  <si>
    <t>Double Pane Aluminum Frame (sf)</t>
  </si>
  <si>
    <t>Triple Pane Aluminum Frame (sf)</t>
  </si>
  <si>
    <t>Double Pane Plastic Frame (sf)</t>
  </si>
  <si>
    <t>Triple Pane Plastic Frame (sf)</t>
  </si>
  <si>
    <t>Column</t>
  </si>
  <si>
    <t>Reinforced Concrete Column (cy)</t>
  </si>
  <si>
    <t>Steel Column (kg)</t>
  </si>
  <si>
    <t>Glulam Column (kg)</t>
  </si>
  <si>
    <t>Beam</t>
  </si>
  <si>
    <t>Reinforced Concrete Beam (cy)</t>
  </si>
  <si>
    <t>Steel Beam (kg)</t>
  </si>
  <si>
    <t>Wood Beam (kg)</t>
  </si>
  <si>
    <t>Glulam Beam (kg)</t>
  </si>
  <si>
    <t>Steel Duct 12"D (ft)</t>
  </si>
  <si>
    <t>Steel Duct 18"D (ft)</t>
  </si>
  <si>
    <t>Copper Pipe (kg)</t>
  </si>
  <si>
    <t>Stainless Steel Pipe (kg)</t>
  </si>
  <si>
    <t>HDPE Pipe (kg)</t>
  </si>
  <si>
    <t>Ground Source Heat Exchanger (ft)</t>
  </si>
  <si>
    <t>GSHP Open Vertical (Btu/hr)</t>
  </si>
  <si>
    <t>AHU w/Plate Waste Heat Recovery (m^3/s)</t>
  </si>
  <si>
    <t>AHU w/LiCl Desiccant Dehumidification (m^3/s)</t>
  </si>
  <si>
    <t>AHU w/Wheel Waste Heat Recovery (m^3/s)</t>
  </si>
  <si>
    <t>Air Handling Normal Unit (m^3/s)</t>
  </si>
  <si>
    <t>Air Handling Unit Plate Waste Heat Recovery (m^3/s)</t>
  </si>
  <si>
    <t>Air Handling Unit Wheel Waste Heat Recovery (m^3/s)</t>
  </si>
  <si>
    <t>Air Filters (m^3/s)</t>
  </si>
  <si>
    <t>Heat Pump (nominal tons)</t>
  </si>
  <si>
    <t>Air Conditioner (nominal tons)</t>
  </si>
  <si>
    <t>Natural Gas Furnace (kBtu/h)</t>
  </si>
  <si>
    <t>Living Machine Water Treatment System (gal/day)</t>
  </si>
  <si>
    <t>Rainwater Collection Tank (gal)</t>
  </si>
  <si>
    <t>Natural Gas Water Heater (kBtu/h)</t>
  </si>
  <si>
    <t>Boiler (L)</t>
  </si>
  <si>
    <t>Water Pump (m^3/hr)</t>
  </si>
  <si>
    <t>Misc</t>
  </si>
  <si>
    <t>Smart Glass (sf)</t>
  </si>
  <si>
    <t>C.R. Laurence Shading System (sf)</t>
  </si>
  <si>
    <t>Nullifire Coating (sf)</t>
  </si>
  <si>
    <t>The Expanded Metal Company Steel Façade Panel (sf)</t>
  </si>
  <si>
    <t>Exercise Bike (Bike)</t>
  </si>
  <si>
    <t>Walking Station (Treadmill)</t>
  </si>
  <si>
    <t>Ceramic Frittering (sf)</t>
  </si>
  <si>
    <t>Novelis FF3 Aluminum Panel (sf)</t>
  </si>
  <si>
    <t>Energy</t>
  </si>
  <si>
    <t>AeroVironment Wind (Turbine)</t>
  </si>
  <si>
    <t>Transparent PV Glass (sf)</t>
  </si>
  <si>
    <t>Energain Thermal Mass Panels (sf)</t>
  </si>
  <si>
    <t>Flat Plate Solar Thermal (sf)</t>
  </si>
  <si>
    <t>EV Station (Charger)</t>
  </si>
  <si>
    <t>QR5 (Turbine)</t>
  </si>
  <si>
    <t>EV Battery (kWh)</t>
  </si>
  <si>
    <t>Integrated Solar Water Heating (sf)</t>
  </si>
  <si>
    <t>Flate Plate Solar Water Heating (sf)</t>
  </si>
  <si>
    <t>Millennium PVT (Panel)</t>
  </si>
  <si>
    <t>Photovoltaics (sf)</t>
  </si>
  <si>
    <r>
      <rPr>
        <rFont val="Arial"/>
        <i val="0"/>
        <color theme="1"/>
        <sz val="10.0"/>
      </rPr>
      <t xml:space="preserve">[1] </t>
    </r>
    <r>
      <rPr>
        <rFont val="Arial"/>
        <i/>
        <color theme="1"/>
        <sz val="10.0"/>
      </rPr>
      <t>Assemblies modeled in Sima Pro using ReCiPe Midpoint (H) version 1.06 methodology, world normalization.</t>
    </r>
  </si>
  <si>
    <r>
      <rPr>
        <rFont val="Arial"/>
        <i val="0"/>
        <color theme="1"/>
        <sz val="10.0"/>
      </rPr>
      <t xml:space="preserve">[2] </t>
    </r>
    <r>
      <rPr>
        <rFont val="Arial"/>
        <i/>
        <color theme="1"/>
        <sz val="10.0"/>
      </rPr>
      <t xml:space="preserve">Crude oil virtual water (water footprint) assumed to be 1.06 m^3/GJ or 1.06 kg/MJ for both diesel and gasoline (Water Footprint of Bio-Energy and Other Primary Energy Carriers, UNESCO-IHE, March 2008, http://www.waterfootprint.org/Reports/Report29-WaterFootprintBioenergy.pdf). </t>
    </r>
  </si>
  <si>
    <t>2 Use Phase</t>
  </si>
  <si>
    <t>kgCO2e/kWh</t>
  </si>
  <si>
    <t>%Coal</t>
  </si>
  <si>
    <t>%Fuel Oil</t>
  </si>
  <si>
    <t>%Diesel</t>
  </si>
  <si>
    <t>%NGCC</t>
  </si>
  <si>
    <t>MJ/kWh</t>
  </si>
  <si>
    <t>kgH2O/kWh</t>
  </si>
  <si>
    <t>kgCFC11/kWh</t>
  </si>
  <si>
    <t>CO2-adjust</t>
  </si>
  <si>
    <t>kgH2O</t>
  </si>
  <si>
    <t>MJ-adjust</t>
  </si>
  <si>
    <t>delT</t>
  </si>
  <si>
    <t>kgH2O/MJ</t>
  </si>
  <si>
    <t>kgCFC11/MJ</t>
  </si>
  <si>
    <t>Coal</t>
  </si>
  <si>
    <t>Ridge</t>
  </si>
  <si>
    <t>River</t>
  </si>
  <si>
    <r>
      <rPr>
        <rFont val="Arial"/>
        <color theme="1"/>
        <sz val="10.0"/>
      </rPr>
      <t xml:space="preserve">[3] </t>
    </r>
    <r>
      <rPr>
        <rFont val="Arial"/>
        <i/>
        <color theme="1"/>
        <sz val="10.0"/>
      </rPr>
      <t>Emissions factors taken from the US DOE EIA Appendix F Electricity Emissions Factors.</t>
    </r>
  </si>
  <si>
    <r>
      <rPr>
        <rFont val="Arial"/>
        <color theme="1"/>
        <sz val="10.0"/>
      </rPr>
      <t xml:space="preserve">[4] </t>
    </r>
    <r>
      <rPr>
        <rFont val="Arial"/>
        <i/>
        <color theme="1"/>
        <sz val="10.0"/>
      </rPr>
      <t>Fuel breakdown for Germany from Paul Scherrer Institute report.</t>
    </r>
  </si>
  <si>
    <r>
      <rPr>
        <rFont val="Arial"/>
        <color theme="1"/>
        <sz val="10.0"/>
      </rPr>
      <t xml:space="preserve">[5] </t>
    </r>
    <r>
      <rPr>
        <rFont val="Arial"/>
        <i/>
        <color theme="1"/>
        <sz val="10.0"/>
      </rPr>
      <t>Fuel breakdown for CA, WI, and NV from the US DOE EERE.</t>
    </r>
  </si>
  <si>
    <r>
      <rPr>
        <rFont val="Arial"/>
        <color theme="1"/>
        <sz val="10.0"/>
      </rPr>
      <t xml:space="preserve">[6] </t>
    </r>
    <r>
      <rPr>
        <rFont val="Arial"/>
        <i/>
        <color theme="1"/>
        <sz val="10.0"/>
      </rPr>
      <t>Fuel breakdown for Puerto Rico from the EIA.</t>
    </r>
  </si>
  <si>
    <r>
      <rPr>
        <rFont val="Arial"/>
        <color theme="1"/>
        <sz val="10.0"/>
      </rPr>
      <t xml:space="preserve">[7] </t>
    </r>
    <r>
      <rPr>
        <rFont val="Arial"/>
        <i/>
        <color theme="1"/>
        <sz val="10.0"/>
      </rPr>
      <t xml:space="preserve">Generator efficiency from the IPCC. </t>
    </r>
  </si>
  <si>
    <t>http://www.greenspec.co.uk/embodied-energy.php</t>
  </si>
  <si>
    <t>http://www.nrel.gov/docs/fy08osti/41956.pdf</t>
  </si>
  <si>
    <t>http://www.esu-services.ch/fileadmin/download/publicLCI/itten-2012-electricity-mix.pdf</t>
  </si>
  <si>
    <t>http://energyalmanac.ca.gov/electricity/total_system_power.html</t>
  </si>
  <si>
    <t>http://psc.wi.gov/thelibrary/publications/electric/electric04.pdf</t>
  </si>
  <si>
    <t>http://apps1.eere.energy.gov/states/</t>
  </si>
  <si>
    <t>http://www.ipcc.ch/publications_and_data/ar4/wg3/en/ch4s4-4-3-1.html</t>
  </si>
  <si>
    <t>http://www.energy.ca.gov/sb1305/labels/2011_labels/LADWP_PCL.pdf</t>
  </si>
  <si>
    <t>http://www.eia.gov/tools/faqs/faq.cfm?id=74&amp;t=11</t>
  </si>
  <si>
    <t>Pick foundation</t>
  </si>
  <si>
    <t>Pick interior wall</t>
  </si>
  <si>
    <t>Pick exterior wall</t>
  </si>
  <si>
    <t>Pick floor</t>
  </si>
  <si>
    <t>Pick roof</t>
  </si>
  <si>
    <t>Pick window</t>
  </si>
  <si>
    <t>Pick columns</t>
  </si>
  <si>
    <t>Pick beams</t>
  </si>
  <si>
    <t>Pick MEP</t>
  </si>
  <si>
    <t>Pick Energy</t>
  </si>
  <si>
    <t>Pick Misc</t>
  </si>
  <si>
    <t>Embodied Impacts Breakdown for Each Selected Assembly (from Construction and Materials sheet)</t>
  </si>
  <si>
    <t>Carbon Tracker</t>
  </si>
  <si>
    <t>Assembly Type</t>
  </si>
  <si>
    <t>Mat. kgCO2</t>
  </si>
  <si>
    <t>Trans. kgCO2</t>
  </si>
  <si>
    <t>Cons. kgCO2</t>
  </si>
  <si>
    <t>Total kgCO2</t>
  </si>
  <si>
    <t>Mat. MJ</t>
  </si>
  <si>
    <t>Trans. MJ</t>
  </si>
  <si>
    <t>Cons. MJ</t>
  </si>
  <si>
    <t>Total MJ</t>
  </si>
  <si>
    <t>Mat. kgH2O</t>
  </si>
  <si>
    <t>Trans. kgH2O</t>
  </si>
  <si>
    <t>Cons. kgH2O</t>
  </si>
  <si>
    <t>Total kgH2O</t>
  </si>
  <si>
    <t>Mat. kgCFC11</t>
  </si>
  <si>
    <t>Trans. kgCFC11</t>
  </si>
  <si>
    <t>Cons. kgCFC11</t>
  </si>
  <si>
    <t>Total kgCFC11</t>
  </si>
  <si>
    <t>Plot Name</t>
  </si>
  <si>
    <t>Period --&gt;</t>
  </si>
  <si>
    <t>Assembly 1 --&gt;</t>
  </si>
  <si>
    <t>Assembly 2 --&gt;</t>
  </si>
  <si>
    <t>Assembly 3 --&gt;</t>
  </si>
  <si>
    <t>"</t>
  </si>
  <si>
    <t>The Expanded Metal Company Steel Façade Panels (sf)</t>
  </si>
  <si>
    <t>Beams</t>
  </si>
  <si>
    <t>Use Phase --&gt;</t>
  </si>
  <si>
    <t>Period Sum --&gt;</t>
  </si>
  <si>
    <t>Cumulative --&gt;</t>
  </si>
  <si>
    <t>Target --&gt;</t>
  </si>
  <si>
    <t>Excess --&gt;</t>
  </si>
  <si>
    <t>*VLOOKUP(Q4,'LCA Data'!$C$8:$T$95,18,FALSE)</t>
  </si>
  <si>
    <t>Price ($/tonne)</t>
  </si>
  <si>
    <t>Cost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</si>
</sst>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E+00"/>
    <numFmt numFmtId="165" formatCode="0.0%"/>
    <numFmt numFmtId="166" formatCode="#,##0.0"/>
    <numFmt numFmtId="167" formatCode="&quot;$&quot;#,##0_);[Red]\(&quot;$&quot;#,##0\)"/>
    <numFmt numFmtId="168" formatCode="0.0"/>
    <numFmt numFmtId="169" formatCode="0.000"/>
  </numFmts>
  <fonts count="42">
    <font>
      <sz val="10.0"/>
      <color theme="1"/>
      <name val="Menlo Regular"/>
      <scheme val="minor"/>
    </font>
    <font>
      <sz val="10.0"/>
      <color theme="1"/>
      <name val="Arial"/>
    </font>
    <font>
      <sz val="10.0"/>
      <color theme="0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rgb="FFFFFFFF"/>
      <name val="Arial"/>
    </font>
    <font>
      <b/>
      <u/>
      <sz val="14.0"/>
      <color theme="0"/>
      <name val="Arial"/>
    </font>
    <font/>
    <font>
      <b/>
      <u/>
      <sz val="14.0"/>
      <color theme="0"/>
      <name val="Arial"/>
    </font>
    <font>
      <b/>
      <sz val="12.0"/>
      <color theme="0"/>
      <name val="Arial"/>
    </font>
    <font>
      <b/>
      <sz val="10.0"/>
      <color theme="0"/>
      <name val="Arial"/>
    </font>
    <font>
      <i/>
      <sz val="10.0"/>
      <color theme="0"/>
      <name val="Arial"/>
    </font>
    <font>
      <b/>
      <i/>
      <sz val="12.0"/>
      <color rgb="FF76923C"/>
      <name val="Arial"/>
    </font>
    <font>
      <sz val="10.0"/>
      <color rgb="FF76923C"/>
      <name val="Arial"/>
    </font>
    <font>
      <b/>
      <i/>
      <sz val="12.0"/>
      <color rgb="FF548DD4"/>
      <name val="Arial"/>
    </font>
    <font>
      <sz val="10.0"/>
      <color theme="4"/>
      <name val="Arial"/>
    </font>
    <font>
      <b/>
      <i/>
      <sz val="12.0"/>
      <color rgb="FFFF0000"/>
      <name val="Arial"/>
    </font>
    <font>
      <sz val="10.0"/>
      <color rgb="FFFF0000"/>
      <name val="Arial"/>
    </font>
    <font>
      <sz val="10.0"/>
      <color rgb="FFFFFFFF"/>
      <name val="Arial"/>
    </font>
    <font>
      <b/>
      <sz val="16.0"/>
      <color theme="1"/>
      <name val="Arial"/>
    </font>
    <font>
      <sz val="10.0"/>
      <color rgb="FF548DD4"/>
      <name val="Arial"/>
    </font>
    <font>
      <sz val="12.0"/>
      <color theme="1"/>
      <name val="Arial"/>
    </font>
    <font>
      <b/>
      <sz val="10.0"/>
      <color rgb="FFFF6600"/>
      <name val="Arial"/>
    </font>
    <font>
      <sz val="10.0"/>
      <color rgb="FFFF6600"/>
      <name val="Arial"/>
    </font>
    <font>
      <b/>
      <sz val="10.0"/>
      <color rgb="FFFF0000"/>
      <name val="Arial"/>
    </font>
    <font>
      <b/>
      <sz val="10.0"/>
      <color rgb="FFFFFF00"/>
      <name val="Arial"/>
    </font>
    <font>
      <b/>
      <sz val="10.0"/>
      <color rgb="FF3366FF"/>
      <name val="Arial"/>
    </font>
    <font>
      <b/>
      <sz val="10.0"/>
      <color rgb="FF008000"/>
      <name val="Arial"/>
    </font>
    <font>
      <b/>
      <sz val="10.0"/>
      <color rgb="FF660066"/>
      <name val="Arial"/>
    </font>
    <font>
      <sz val="10.0"/>
      <color rgb="FFFFFF00"/>
      <name val="Arial"/>
    </font>
    <font>
      <sz val="10.0"/>
      <color rgb="FF3366FF"/>
      <name val="Arial"/>
    </font>
    <font>
      <sz val="10.0"/>
      <color rgb="FF008000"/>
      <name val="Arial"/>
    </font>
    <font>
      <sz val="10.0"/>
      <color rgb="FF660066"/>
      <name val="Arial"/>
    </font>
    <font>
      <sz val="11.0"/>
      <color theme="1"/>
      <name val="Calibri"/>
    </font>
    <font>
      <b/>
      <u/>
      <sz val="10.0"/>
      <color theme="0"/>
      <name val="Arial"/>
    </font>
    <font>
      <sz val="10.0"/>
      <color rgb="FF1F497D"/>
      <name val="Arial"/>
    </font>
    <font>
      <i/>
      <sz val="10.0"/>
      <color theme="1"/>
      <name val="Arial"/>
    </font>
    <font>
      <u/>
      <sz val="10.0"/>
      <color theme="10"/>
      <name val="Menlo Regula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sz val="8.0"/>
      <color rgb="FFFF0000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0" xfId="0" applyBorder="1" applyFont="1"/>
    <xf borderId="1" fillId="3" fontId="3" numFmtId="0" xfId="0" applyBorder="1" applyFill="1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3" fontId="4" numFmtId="0" xfId="0" applyBorder="1" applyFont="1"/>
    <xf borderId="1" fillId="2" fontId="4" numFmtId="0" xfId="0" applyBorder="1" applyFont="1"/>
    <xf borderId="1" fillId="3" fontId="3" numFmtId="0" xfId="0" applyAlignment="1" applyBorder="1" applyFont="1">
      <alignment horizontal="left"/>
    </xf>
    <xf borderId="1" fillId="4" fontId="5" numFmtId="0" xfId="0" applyBorder="1" applyFill="1" applyFont="1"/>
    <xf borderId="2" fillId="2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2" fontId="8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2" fontId="10" numFmtId="3" xfId="0" applyAlignment="1" applyBorder="1" applyFont="1" applyNumberFormat="1">
      <alignment horizontal="center"/>
    </xf>
    <xf borderId="1" fillId="2" fontId="11" numFmtId="0" xfId="0" applyAlignment="1" applyBorder="1" applyFont="1">
      <alignment horizontal="center"/>
    </xf>
    <xf borderId="1" fillId="2" fontId="12" numFmtId="0" xfId="0" applyAlignment="1" applyBorder="1" applyFont="1">
      <alignment horizontal="center"/>
    </xf>
    <xf borderId="1" fillId="2" fontId="13" numFmtId="3" xfId="0" applyAlignment="1" applyBorder="1" applyFont="1" applyNumberFormat="1">
      <alignment horizontal="center"/>
    </xf>
    <xf borderId="1" fillId="2" fontId="13" numFmtId="164" xfId="0" applyAlignment="1" applyBorder="1" applyFont="1" applyNumberFormat="1">
      <alignment horizontal="center"/>
    </xf>
    <xf borderId="1" fillId="2" fontId="13" numFmtId="165" xfId="0" applyAlignment="1" applyBorder="1" applyFont="1" applyNumberFormat="1">
      <alignment horizontal="center"/>
    </xf>
    <xf borderId="1" fillId="2" fontId="13" numFmtId="0" xfId="0" applyAlignment="1" applyBorder="1" applyFont="1">
      <alignment horizontal="center"/>
    </xf>
    <xf borderId="1" fillId="2" fontId="14" numFmtId="0" xfId="0" applyAlignment="1" applyBorder="1" applyFont="1">
      <alignment horizontal="center"/>
    </xf>
    <xf borderId="1" fillId="2" fontId="15" numFmtId="3" xfId="0" applyAlignment="1" applyBorder="1" applyFont="1" applyNumberFormat="1">
      <alignment horizontal="center"/>
    </xf>
    <xf borderId="1" fillId="2" fontId="15" numFmtId="164" xfId="0" applyAlignment="1" applyBorder="1" applyFont="1" applyNumberFormat="1">
      <alignment horizontal="center"/>
    </xf>
    <xf borderId="1" fillId="2" fontId="15" numFmtId="165" xfId="0" applyAlignment="1" applyBorder="1" applyFont="1" applyNumberFormat="1">
      <alignment horizontal="center"/>
    </xf>
    <xf borderId="1" fillId="2" fontId="15" numFmtId="0" xfId="0" applyAlignment="1" applyBorder="1" applyFont="1">
      <alignment horizontal="center"/>
    </xf>
    <xf borderId="1" fillId="2" fontId="16" numFmtId="0" xfId="0" applyAlignment="1" applyBorder="1" applyFont="1">
      <alignment horizontal="center"/>
    </xf>
    <xf borderId="1" fillId="2" fontId="17" numFmtId="165" xfId="0" applyAlignment="1" applyBorder="1" applyFont="1" applyNumberFormat="1">
      <alignment horizontal="center"/>
    </xf>
    <xf borderId="1" fillId="2" fontId="17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2" fontId="10" numFmtId="0" xfId="0" applyBorder="1" applyFont="1"/>
    <xf borderId="5" fillId="4" fontId="18" numFmtId="0" xfId="0" applyAlignment="1" applyBorder="1" applyFont="1">
      <alignment horizontal="center"/>
    </xf>
    <xf borderId="5" fillId="4" fontId="2" numFmtId="3" xfId="0" applyAlignment="1" applyBorder="1" applyFont="1" applyNumberFormat="1">
      <alignment horizontal="center"/>
    </xf>
    <xf borderId="1" fillId="2" fontId="2" numFmtId="3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5" fillId="4" fontId="2" numFmtId="0" xfId="0" applyAlignment="1" applyBorder="1" applyFont="1">
      <alignment horizontal="center"/>
    </xf>
    <xf borderId="5" fillId="4" fontId="18" numFmtId="0" xfId="0" applyAlignment="1" applyBorder="1" applyFont="1">
      <alignment horizontal="center" readingOrder="0"/>
    </xf>
    <xf borderId="5" fillId="4" fontId="2" numFmtId="4" xfId="0" applyAlignment="1" applyBorder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1" fillId="3" fontId="19" numFmtId="0" xfId="0" applyBorder="1" applyFont="1"/>
    <xf borderId="1" fillId="2" fontId="1" numFmtId="3" xfId="0" applyBorder="1" applyFont="1" applyNumberFormat="1"/>
    <xf borderId="1" fillId="2" fontId="20" numFmtId="3" xfId="0" applyAlignment="1" applyBorder="1" applyFont="1" applyNumberFormat="1">
      <alignment horizontal="center"/>
    </xf>
    <xf borderId="1" fillId="2" fontId="20" numFmtId="11" xfId="0" applyAlignment="1" applyBorder="1" applyFont="1" applyNumberFormat="1">
      <alignment horizontal="center"/>
    </xf>
    <xf borderId="1" fillId="2" fontId="20" numFmtId="165" xfId="0" applyAlignment="1" applyBorder="1" applyFont="1" applyNumberFormat="1">
      <alignment horizontal="center"/>
    </xf>
    <xf borderId="1" fillId="2" fontId="20" numFmtId="0" xfId="0" applyAlignment="1" applyBorder="1" applyFont="1">
      <alignment horizontal="center"/>
    </xf>
    <xf borderId="2" fillId="2" fontId="9" numFmtId="0" xfId="0" applyAlignment="1" applyBorder="1" applyFont="1">
      <alignment horizontal="center"/>
    </xf>
    <xf borderId="1" fillId="3" fontId="21" numFmtId="0" xfId="0" applyBorder="1" applyFont="1"/>
    <xf borderId="1" fillId="4" fontId="2" numFmtId="3" xfId="0" applyBorder="1" applyFont="1" applyNumberFormat="1"/>
    <xf borderId="1" fillId="2" fontId="2" numFmtId="11" xfId="0" applyAlignment="1" applyBorder="1" applyFont="1" applyNumberFormat="1">
      <alignment horizontal="center"/>
    </xf>
    <xf borderId="1" fillId="2" fontId="2" numFmtId="11" xfId="0" applyBorder="1" applyFont="1" applyNumberFormat="1"/>
    <xf borderId="1" fillId="2" fontId="17" numFmtId="0" xfId="0" applyBorder="1" applyFont="1"/>
    <xf borderId="1" fillId="2" fontId="11" numFmtId="0" xfId="0" applyAlignment="1" applyBorder="1" applyFont="1">
      <alignment horizontal="right"/>
    </xf>
    <xf borderId="1" fillId="4" fontId="11" numFmtId="9" xfId="0" applyBorder="1" applyFont="1" applyNumberFormat="1"/>
    <xf borderId="1" fillId="2" fontId="17" numFmtId="3" xfId="0" applyAlignment="1" applyBorder="1" applyFont="1" applyNumberFormat="1">
      <alignment horizontal="center"/>
    </xf>
    <xf borderId="1" fillId="2" fontId="17" numFmtId="11" xfId="0" applyAlignment="1" applyBorder="1" applyFont="1" applyNumberFormat="1">
      <alignment horizontal="center"/>
    </xf>
    <xf borderId="1" fillId="4" fontId="2" numFmtId="166" xfId="0" applyBorder="1" applyFont="1" applyNumberFormat="1"/>
    <xf borderId="1" fillId="2" fontId="1" numFmtId="3" xfId="0" applyAlignment="1" applyBorder="1" applyFont="1" applyNumberFormat="1">
      <alignment horizontal="center"/>
    </xf>
    <xf borderId="1" fillId="3" fontId="2" numFmtId="0" xfId="0" applyBorder="1" applyFont="1"/>
    <xf borderId="1" fillId="2" fontId="22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2" fontId="23" numFmtId="3" xfId="0" applyAlignment="1" applyBorder="1" applyFont="1" applyNumberFormat="1">
      <alignment horizontal="center"/>
    </xf>
    <xf borderId="1" fillId="2" fontId="2" numFmtId="9" xfId="0" applyAlignment="1" applyBorder="1" applyFont="1" applyNumberFormat="1">
      <alignment horizontal="center"/>
    </xf>
    <xf borderId="1" fillId="2" fontId="2" numFmtId="9" xfId="0" applyBorder="1" applyFont="1" applyNumberFormat="1"/>
    <xf borderId="1" fillId="2" fontId="23" numFmtId="0" xfId="0" applyAlignment="1" applyBorder="1" applyFont="1">
      <alignment horizontal="center"/>
    </xf>
    <xf borderId="2" fillId="2" fontId="10" numFmtId="0" xfId="0" applyAlignment="1" applyBorder="1" applyFont="1">
      <alignment horizontal="center"/>
    </xf>
    <xf borderId="1" fillId="2" fontId="24" numFmtId="0" xfId="0" applyAlignment="1" applyBorder="1" applyFont="1">
      <alignment horizontal="center"/>
    </xf>
    <xf borderId="1" fillId="2" fontId="25" numFmtId="0" xfId="0" applyAlignment="1" applyBorder="1" applyFont="1">
      <alignment horizontal="center"/>
    </xf>
    <xf borderId="1" fillId="2" fontId="26" numFmtId="0" xfId="0" applyAlignment="1" applyBorder="1" applyFont="1">
      <alignment horizontal="center"/>
    </xf>
    <xf borderId="1" fillId="2" fontId="27" numFmtId="0" xfId="0" applyAlignment="1" applyBorder="1" applyFont="1">
      <alignment horizontal="center"/>
    </xf>
    <xf borderId="1" fillId="2" fontId="28" numFmtId="0" xfId="0" applyAlignment="1" applyBorder="1" applyFont="1">
      <alignment horizontal="center"/>
    </xf>
    <xf borderId="1" fillId="2" fontId="29" numFmtId="3" xfId="0" applyAlignment="1" applyBorder="1" applyFont="1" applyNumberFormat="1">
      <alignment horizontal="center"/>
    </xf>
    <xf borderId="1" fillId="2" fontId="30" numFmtId="3" xfId="0" applyAlignment="1" applyBorder="1" applyFont="1" applyNumberFormat="1">
      <alignment horizontal="center"/>
    </xf>
    <xf borderId="1" fillId="2" fontId="31" numFmtId="3" xfId="0" applyAlignment="1" applyBorder="1" applyFont="1" applyNumberFormat="1">
      <alignment horizontal="center"/>
    </xf>
    <xf borderId="1" fillId="2" fontId="32" numFmtId="3" xfId="0" applyAlignment="1" applyBorder="1" applyFont="1" applyNumberFormat="1">
      <alignment horizontal="center"/>
    </xf>
    <xf borderId="1" fillId="2" fontId="2" numFmtId="0" xfId="0" applyAlignment="1" applyBorder="1" applyFont="1">
      <alignment horizontal="right"/>
    </xf>
    <xf borderId="1" fillId="2" fontId="17" numFmtId="9" xfId="0" applyAlignment="1" applyBorder="1" applyFont="1" applyNumberFormat="1">
      <alignment horizontal="center"/>
    </xf>
    <xf borderId="1" fillId="2" fontId="23" numFmtId="9" xfId="0" applyAlignment="1" applyBorder="1" applyFont="1" applyNumberFormat="1">
      <alignment horizontal="center"/>
    </xf>
    <xf borderId="1" fillId="2" fontId="29" numFmtId="9" xfId="0" applyAlignment="1" applyBorder="1" applyFont="1" applyNumberFormat="1">
      <alignment horizontal="center"/>
    </xf>
    <xf borderId="1" fillId="2" fontId="30" numFmtId="9" xfId="0" applyAlignment="1" applyBorder="1" applyFont="1" applyNumberFormat="1">
      <alignment horizontal="center"/>
    </xf>
    <xf borderId="1" fillId="2" fontId="31" numFmtId="9" xfId="0" applyAlignment="1" applyBorder="1" applyFont="1" applyNumberFormat="1">
      <alignment horizontal="center"/>
    </xf>
    <xf borderId="1" fillId="2" fontId="32" numFmtId="9" xfId="0" applyAlignment="1" applyBorder="1" applyFont="1" applyNumberFormat="1">
      <alignment horizontal="center"/>
    </xf>
    <xf borderId="1" fillId="2" fontId="23" numFmtId="11" xfId="0" applyAlignment="1" applyBorder="1" applyFont="1" applyNumberFormat="1">
      <alignment horizontal="center"/>
    </xf>
    <xf borderId="1" fillId="2" fontId="29" numFmtId="11" xfId="0" applyAlignment="1" applyBorder="1" applyFont="1" applyNumberFormat="1">
      <alignment horizontal="center"/>
    </xf>
    <xf borderId="1" fillId="2" fontId="30" numFmtId="11" xfId="0" applyAlignment="1" applyBorder="1" applyFont="1" applyNumberFormat="1">
      <alignment horizontal="center"/>
    </xf>
    <xf borderId="1" fillId="2" fontId="31" numFmtId="11" xfId="0" applyAlignment="1" applyBorder="1" applyFont="1" applyNumberFormat="1">
      <alignment horizontal="center"/>
    </xf>
    <xf borderId="1" fillId="2" fontId="32" numFmtId="11" xfId="0" applyAlignment="1" applyBorder="1" applyFont="1" applyNumberFormat="1">
      <alignment horizontal="center"/>
    </xf>
    <xf borderId="1" fillId="2" fontId="1" numFmtId="11" xfId="0" applyBorder="1" applyFont="1" applyNumberFormat="1"/>
    <xf borderId="1" fillId="3" fontId="1" numFmtId="3" xfId="0" applyBorder="1" applyFont="1" applyNumberFormat="1"/>
    <xf borderId="1" fillId="3" fontId="1" numFmtId="9" xfId="0" applyBorder="1" applyFont="1" applyNumberFormat="1"/>
    <xf borderId="1" fillId="2" fontId="2" numFmtId="3" xfId="0" applyBorder="1" applyFont="1" applyNumberFormat="1"/>
    <xf borderId="1" fillId="3" fontId="1" numFmtId="11" xfId="0" applyBorder="1" applyFont="1" applyNumberFormat="1"/>
    <xf borderId="1" fillId="3" fontId="1" numFmtId="167" xfId="0" applyBorder="1" applyFont="1" applyNumberFormat="1"/>
    <xf borderId="0" fillId="0" fontId="33" numFmtId="0" xfId="0" applyFont="1"/>
    <xf borderId="0" fillId="0" fontId="33" numFmtId="2" xfId="0" applyFont="1" applyNumberFormat="1"/>
    <xf borderId="0" fillId="0" fontId="33" numFmtId="164" xfId="0" applyFont="1" applyNumberFormat="1"/>
    <xf borderId="0" fillId="0" fontId="33" numFmtId="168" xfId="0" applyFont="1" applyNumberFormat="1"/>
    <xf borderId="0" fillId="0" fontId="33" numFmtId="9" xfId="0" applyFont="1" applyNumberFormat="1"/>
    <xf borderId="0" fillId="0" fontId="19" numFmtId="0" xfId="0" applyFont="1"/>
    <xf borderId="0" fillId="0" fontId="4" numFmtId="0" xfId="0" applyFont="1"/>
    <xf borderId="2" fillId="2" fontId="34" numFmtId="0" xfId="0" applyAlignment="1" applyBorder="1" applyFont="1">
      <alignment horizontal="center"/>
    </xf>
    <xf borderId="1" fillId="5" fontId="1" numFmtId="1" xfId="0" applyAlignment="1" applyBorder="1" applyFill="1" applyFont="1" applyNumberFormat="1">
      <alignment horizontal="center"/>
    </xf>
    <xf borderId="1" fillId="5" fontId="1" numFmtId="11" xfId="0" applyAlignment="1" applyBorder="1" applyFont="1" applyNumberFormat="1">
      <alignment horizontal="center"/>
    </xf>
    <xf borderId="1" fillId="6" fontId="1" numFmtId="2" xfId="0" applyAlignment="1" applyBorder="1" applyFill="1" applyFont="1" applyNumberFormat="1">
      <alignment horizontal="center"/>
    </xf>
    <xf borderId="1" fillId="6" fontId="1" numFmtId="11" xfId="0" applyAlignment="1" applyBorder="1" applyFont="1" applyNumberFormat="1">
      <alignment horizontal="center"/>
    </xf>
    <xf borderId="1" fillId="7" fontId="1" numFmtId="2" xfId="0" applyAlignment="1" applyBorder="1" applyFill="1" applyFont="1" applyNumberFormat="1">
      <alignment horizontal="center"/>
    </xf>
    <xf borderId="1" fillId="7" fontId="1" numFmtId="11" xfId="0" applyAlignment="1" applyBorder="1" applyFont="1" applyNumberFormat="1">
      <alignment horizontal="center"/>
    </xf>
    <xf borderId="1" fillId="8" fontId="1" numFmtId="2" xfId="0" applyAlignment="1" applyBorder="1" applyFill="1" applyFont="1" applyNumberFormat="1">
      <alignment horizontal="center"/>
    </xf>
    <xf borderId="1" fillId="8" fontId="1" numFmtId="11" xfId="0" applyAlignment="1" applyBorder="1" applyFont="1" applyNumberFormat="1">
      <alignment horizontal="center"/>
    </xf>
    <xf borderId="1" fillId="6" fontId="35" numFmtId="2" xfId="0" applyAlignment="1" applyBorder="1" applyFont="1" applyNumberFormat="1">
      <alignment horizontal="center"/>
    </xf>
    <xf borderId="1" fillId="6" fontId="35" numFmtId="11" xfId="0" applyAlignment="1" applyBorder="1" applyFont="1" applyNumberFormat="1">
      <alignment horizontal="center"/>
    </xf>
    <xf borderId="0" fillId="0" fontId="17" numFmtId="0" xfId="0" applyFont="1"/>
    <xf borderId="1" fillId="5" fontId="17" numFmtId="1" xfId="0" applyAlignment="1" applyBorder="1" applyFont="1" applyNumberFormat="1">
      <alignment horizontal="center"/>
    </xf>
    <xf borderId="1" fillId="5" fontId="17" numFmtId="11" xfId="0" applyAlignment="1" applyBorder="1" applyFont="1" applyNumberFormat="1">
      <alignment horizontal="center"/>
    </xf>
    <xf borderId="1" fillId="6" fontId="17" numFmtId="2" xfId="0" applyAlignment="1" applyBorder="1" applyFont="1" applyNumberFormat="1">
      <alignment horizontal="center"/>
    </xf>
    <xf borderId="1" fillId="6" fontId="17" numFmtId="11" xfId="0" applyAlignment="1" applyBorder="1" applyFont="1" applyNumberFormat="1">
      <alignment horizontal="center"/>
    </xf>
    <xf borderId="1" fillId="7" fontId="17" numFmtId="2" xfId="0" applyAlignment="1" applyBorder="1" applyFont="1" applyNumberFormat="1">
      <alignment horizontal="center"/>
    </xf>
    <xf borderId="1" fillId="7" fontId="17" numFmtId="11" xfId="0" applyAlignment="1" applyBorder="1" applyFont="1" applyNumberFormat="1">
      <alignment horizontal="center"/>
    </xf>
    <xf borderId="1" fillId="8" fontId="17" numFmtId="2" xfId="0" applyAlignment="1" applyBorder="1" applyFont="1" applyNumberFormat="1">
      <alignment horizontal="center"/>
    </xf>
    <xf borderId="1" fillId="8" fontId="17" numFmtId="1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36" numFmtId="0" xfId="0" applyFont="1"/>
    <xf borderId="0" fillId="0" fontId="1" numFmtId="169" xfId="0" applyFont="1" applyNumberFormat="1"/>
    <xf borderId="0" fillId="0" fontId="1" numFmtId="169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1" xfId="0" applyAlignment="1" applyFont="1" applyNumberFormat="1">
      <alignment horizontal="center"/>
    </xf>
    <xf borderId="1" fillId="9" fontId="1" numFmtId="3" xfId="0" applyAlignment="1" applyBorder="1" applyFill="1" applyFont="1" applyNumberFormat="1">
      <alignment horizontal="center"/>
    </xf>
    <xf borderId="0" fillId="0" fontId="37" numFmtId="0" xfId="0" applyFont="1"/>
    <xf borderId="0" fillId="0" fontId="38" numFmtId="0" xfId="0" applyFont="1"/>
    <xf borderId="0" fillId="0" fontId="39" numFmtId="0" xfId="0" applyFont="1"/>
    <xf borderId="1" fillId="2" fontId="40" numFmtId="0" xfId="0" applyBorder="1" applyFont="1"/>
    <xf borderId="0" fillId="0" fontId="38" numFmtId="3" xfId="0" applyFont="1" applyNumberFormat="1"/>
    <xf borderId="1" fillId="10" fontId="38" numFmtId="3" xfId="0" applyBorder="1" applyFill="1" applyFont="1" applyNumberFormat="1"/>
    <xf borderId="1" fillId="11" fontId="38" numFmtId="3" xfId="0" applyBorder="1" applyFill="1" applyFont="1" applyNumberFormat="1"/>
    <xf borderId="1" fillId="12" fontId="38" numFmtId="3" xfId="0" applyBorder="1" applyFill="1" applyFont="1" applyNumberFormat="1"/>
    <xf borderId="1" fillId="13" fontId="38" numFmtId="3" xfId="0" applyBorder="1" applyFill="1" applyFont="1" applyNumberFormat="1"/>
    <xf borderId="1" fillId="10" fontId="38" numFmtId="11" xfId="0" applyBorder="1" applyFont="1" applyNumberFormat="1"/>
    <xf borderId="1" fillId="11" fontId="38" numFmtId="11" xfId="0" applyBorder="1" applyFont="1" applyNumberFormat="1"/>
    <xf borderId="1" fillId="12" fontId="38" numFmtId="11" xfId="0" applyBorder="1" applyFont="1" applyNumberFormat="1"/>
    <xf borderId="1" fillId="13" fontId="38" numFmtId="11" xfId="0" applyBorder="1" applyFont="1" applyNumberFormat="1"/>
    <xf borderId="0" fillId="0" fontId="38" numFmtId="0" xfId="0" applyAlignment="1" applyFont="1">
      <alignment horizontal="center"/>
    </xf>
    <xf borderId="0" fillId="0" fontId="41" numFmtId="0" xfId="0" applyFont="1"/>
    <xf borderId="1" fillId="14" fontId="38" numFmtId="0" xfId="0" applyBorder="1" applyFill="1" applyFont="1"/>
    <xf borderId="1" fillId="14" fontId="38" numFmtId="3" xfId="0" applyBorder="1" applyFont="1" applyNumberFormat="1"/>
    <xf borderId="0" fillId="0" fontId="38" numFmtId="11" xfId="0" applyFont="1" applyNumberFormat="1"/>
    <xf borderId="0" fillId="0" fontId="38" numFmtId="9" xfId="0" applyFont="1" applyNumberFormat="1"/>
    <xf borderId="1" fillId="14" fontId="38" numFmtId="167" xfId="0" applyBorder="1" applyFont="1" applyNumberFormat="1"/>
    <xf borderId="0" fillId="0" fontId="38" numFmtId="167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80177263806819"/>
          <c:y val="0.12807205551425313"/>
          <c:w val="0.5239643182688809"/>
          <c:h val="0.816345197511961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Results!$B$9:$B$11</c:f>
            </c:strRef>
          </c:cat>
          <c:val>
            <c:numRef>
              <c:f>Results!$F$9:$F$11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Results!$B$9:$B$11</c:f>
            </c:strRef>
          </c:cat>
          <c:val>
            <c:numRef>
              <c:f>Results!$E$9:$E$11</c:f>
              <c:numCache/>
            </c:numRef>
          </c:val>
          <c:smooth val="1"/>
        </c:ser>
        <c:axId val="682092960"/>
        <c:axId val="776332857"/>
      </c:radarChart>
      <c:catAx>
        <c:axId val="68209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332857"/>
      </c:catAx>
      <c:valAx>
        <c:axId val="77633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09296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Results!$C$30:$E$30</c:f>
            </c:strRef>
          </c:cat>
          <c:val>
            <c:numRef>
              <c:f>Results!$C$31:$E$31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Results!$C$30:$H$30</c:f>
            </c:strRef>
          </c:cat>
          <c:val>
            <c:numRef>
              <c:f>Results!$C$31:$H$31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Results!$C$30:$E$30</c:f>
            </c:strRef>
          </c:cat>
          <c:val>
            <c:numRef>
              <c:f>Results!$C$33:$E$33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Results!$C$30:$H$30</c:f>
            </c:strRef>
          </c:cat>
          <c:val>
            <c:numRef>
              <c:f>Results!$C$33:$H$33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Results!$C$30:$E$30</c:f>
            </c:strRef>
          </c:cat>
          <c:val>
            <c:numRef>
              <c:f>Results!$C$35:$E$35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Results!$C$30:$H$30</c:f>
            </c:strRef>
          </c:cat>
          <c:val>
            <c:numRef>
              <c:f>Results!$C$35:$H$35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Results!$C$30:$E$30</c:f>
            </c:strRef>
          </c:cat>
          <c:val>
            <c:numRef>
              <c:f>Results!$C$37:$E$37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Results!$C$30:$H$30</c:f>
            </c:strRef>
          </c:cat>
          <c:val>
            <c:numRef>
              <c:f>Results!$C$37:$H$37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Project Carbon (kgCO2e)</c:v>
          </c:tx>
          <c:spPr>
            <a:ln cmpd="sng" w="1905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Lists!$AL$3:$CJ$3</c:f>
            </c:strRef>
          </c:cat>
          <c:val>
            <c:numRef>
              <c:f>Lists!$AL$47:$CJ$47</c:f>
              <c:numCache/>
            </c:numRef>
          </c:val>
          <c:smooth val="0"/>
        </c:ser>
        <c:ser>
          <c:idx val="1"/>
          <c:order val="1"/>
          <c:tx>
            <c:v>Carbon Target</c:v>
          </c:tx>
          <c:spPr>
            <a:ln cmpd="sng" w="38100">
              <a:solidFill>
                <a:srgbClr val="FF660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Lists!$AL$3:$CJ$3</c:f>
            </c:strRef>
          </c:cat>
          <c:val>
            <c:numRef>
              <c:f>Lists!$AL$48:$CJ$48</c:f>
              <c:numCache/>
            </c:numRef>
          </c:val>
          <c:smooth val="0"/>
        </c:ser>
        <c:axId val="1570229189"/>
        <c:axId val="665024382"/>
      </c:lineChart>
      <c:catAx>
        <c:axId val="1570229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5024382"/>
      </c:catAx>
      <c:valAx>
        <c:axId val="66502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Carbon (kgCO2e)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70229189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7</xdr:row>
      <xdr:rowOff>38100</xdr:rowOff>
    </xdr:from>
    <xdr:ext cx="4543425" cy="26860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41</xdr:row>
      <xdr:rowOff>9525</xdr:rowOff>
    </xdr:from>
    <xdr:ext cx="4552950" cy="26860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41</xdr:row>
      <xdr:rowOff>9525</xdr:rowOff>
    </xdr:from>
    <xdr:ext cx="4524375" cy="2686050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61</xdr:row>
      <xdr:rowOff>0</xdr:rowOff>
    </xdr:from>
    <xdr:ext cx="4552950" cy="26860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9525</xdr:colOff>
      <xdr:row>61</xdr:row>
      <xdr:rowOff>9525</xdr:rowOff>
    </xdr:from>
    <xdr:ext cx="4524375" cy="26860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9525</xdr:colOff>
      <xdr:row>81</xdr:row>
      <xdr:rowOff>9525</xdr:rowOff>
    </xdr:from>
    <xdr:ext cx="4552950" cy="26860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</xdr:colOff>
      <xdr:row>81</xdr:row>
      <xdr:rowOff>9525</xdr:rowOff>
    </xdr:from>
    <xdr:ext cx="4524375" cy="26860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101</xdr:row>
      <xdr:rowOff>9525</xdr:rowOff>
    </xdr:from>
    <xdr:ext cx="4552950" cy="26860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9525</xdr:colOff>
      <xdr:row>101</xdr:row>
      <xdr:rowOff>9525</xdr:rowOff>
    </xdr:from>
    <xdr:ext cx="4524375" cy="26860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38100</xdr:colOff>
      <xdr:row>123</xdr:row>
      <xdr:rowOff>0</xdr:rowOff>
    </xdr:from>
    <xdr:ext cx="9096375" cy="44767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enlo Regular"/>
        <a:ea typeface="Menlo Regular"/>
        <a:cs typeface="Menlo Regular"/>
      </a:majorFont>
      <a:minorFont>
        <a:latin typeface="Menlo Regular"/>
        <a:ea typeface="Menlo Regular"/>
        <a:cs typeface="Menlo Regula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pps1.eere.energy.gov/states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29"/>
    <col customWidth="1" min="3" max="3" width="38.86"/>
    <col customWidth="1" min="4" max="4" width="14.71"/>
    <col customWidth="1" min="5" max="5" width="17.86"/>
    <col customWidth="1" min="6" max="6" width="14.57"/>
    <col customWidth="1" min="7" max="7" width="14.86"/>
    <col customWidth="1" min="8" max="8" width="20.14"/>
    <col customWidth="1" hidden="1" min="9" max="9" width="13.29"/>
    <col customWidth="1" hidden="1" min="10" max="10" width="10.86"/>
    <col customWidth="1" hidden="1" min="11" max="11" width="10.71"/>
    <col customWidth="1" min="12" max="26" width="10.86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4" t="s">
        <v>0</v>
      </c>
      <c r="C2" s="5"/>
      <c r="D2" s="6"/>
      <c r="E2" s="7"/>
      <c r="F2" s="8"/>
      <c r="G2" s="8"/>
      <c r="H2" s="8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9" t="s">
        <v>1</v>
      </c>
      <c r="C3" s="5"/>
      <c r="D3" s="6"/>
      <c r="E3" s="7"/>
      <c r="F3" s="8"/>
      <c r="G3" s="8"/>
      <c r="H3" s="8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0"/>
      <c r="C4" s="1"/>
      <c r="D4" s="2"/>
      <c r="E4" s="2"/>
      <c r="F4" s="2"/>
      <c r="G4" s="2"/>
      <c r="H4" s="2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1" t="s">
        <v>2</v>
      </c>
      <c r="C5" s="12" t="s">
        <v>3</v>
      </c>
      <c r="D5" s="2"/>
      <c r="E5" s="2"/>
      <c r="F5" s="2"/>
      <c r="G5" s="2"/>
      <c r="H5" s="2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/>
      <c r="C6" s="1"/>
      <c r="D6" s="2"/>
      <c r="E6" s="2"/>
      <c r="F6" s="2"/>
      <c r="G6" s="2"/>
      <c r="H6" s="2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1"/>
      <c r="C7" s="1"/>
      <c r="D7" s="13" t="s">
        <v>4</v>
      </c>
      <c r="E7" s="14"/>
      <c r="F7" s="14"/>
      <c r="G7" s="14"/>
      <c r="H7" s="15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"/>
      <c r="C8" s="1"/>
      <c r="D8" s="16"/>
      <c r="E8" s="16"/>
      <c r="F8" s="16"/>
      <c r="G8" s="16"/>
      <c r="H8" s="16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10"/>
      <c r="C9" s="1"/>
      <c r="D9" s="8"/>
      <c r="E9" s="17" t="s">
        <v>5</v>
      </c>
      <c r="F9" s="17" t="s">
        <v>6</v>
      </c>
      <c r="G9" s="17" t="s">
        <v>7</v>
      </c>
      <c r="H9" s="17" t="s">
        <v>8</v>
      </c>
      <c r="I9" s="3"/>
      <c r="J9" s="3"/>
      <c r="K9" s="3"/>
      <c r="L9" s="3" t="s">
        <v>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0"/>
      <c r="C10" s="1"/>
      <c r="D10" s="17" t="s">
        <v>10</v>
      </c>
      <c r="E10" s="18">
        <f>6.38*10^6*VLOOKUP($C$5,'LCA Data'!B115:K121,10,FALSE)</f>
        <v>7396873.846</v>
      </c>
      <c r="F10" s="18">
        <f>1.51*10^8*VLOOKUP(C5,'LCA Data'!B115:M121,12,FALSE)</f>
        <v>155969076.6</v>
      </c>
      <c r="G10" s="18">
        <f>VLOOKUP($C$5,'LCA Data'!B115:L121,11,FALSE)</f>
        <v>271387397.3</v>
      </c>
      <c r="H10" s="19" t="s">
        <v>11</v>
      </c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0"/>
      <c r="C11" s="1"/>
      <c r="D11" s="20" t="s">
        <v>12</v>
      </c>
      <c r="E11" s="21">
        <f t="shared" ref="E11:H11" si="1">SUMIF($J$18:$J$58,"&gt;0",E18:E58)</f>
        <v>4010979.795</v>
      </c>
      <c r="F11" s="21">
        <f t="shared" si="1"/>
        <v>30756534.11</v>
      </c>
      <c r="G11" s="21">
        <f t="shared" si="1"/>
        <v>46676815.88</v>
      </c>
      <c r="H11" s="22">
        <f t="shared" si="1"/>
        <v>0.1423864987</v>
      </c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0"/>
      <c r="C12" s="1"/>
      <c r="D12" s="20" t="s">
        <v>13</v>
      </c>
      <c r="E12" s="23">
        <f t="shared" ref="E12:G12" si="2">E11/E10</f>
        <v>0.5422533734</v>
      </c>
      <c r="F12" s="23">
        <f t="shared" si="2"/>
        <v>0.1971963595</v>
      </c>
      <c r="G12" s="23">
        <f t="shared" si="2"/>
        <v>0.1719933068</v>
      </c>
      <c r="H12" s="24" t="s">
        <v>14</v>
      </c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0"/>
      <c r="C13" s="1"/>
      <c r="D13" s="25" t="s">
        <v>15</v>
      </c>
      <c r="E13" s="26">
        <f>'Use Phase'!F13</f>
        <v>0</v>
      </c>
      <c r="F13" s="26">
        <f>'Use Phase'!G13</f>
        <v>0</v>
      </c>
      <c r="G13" s="26">
        <f>'Use Phase'!H13</f>
        <v>0</v>
      </c>
      <c r="H13" s="27">
        <f>'Use Phase'!I13</f>
        <v>0</v>
      </c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0"/>
      <c r="C14" s="1"/>
      <c r="D14" s="25" t="s">
        <v>13</v>
      </c>
      <c r="E14" s="28">
        <f t="shared" ref="E14:G14" si="3">E13/E10</f>
        <v>0</v>
      </c>
      <c r="F14" s="28">
        <f t="shared" si="3"/>
        <v>0</v>
      </c>
      <c r="G14" s="28">
        <f t="shared" si="3"/>
        <v>0</v>
      </c>
      <c r="H14" s="29" t="s">
        <v>14</v>
      </c>
      <c r="I14" s="3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0"/>
      <c r="C15" s="1"/>
      <c r="D15" s="30" t="s">
        <v>16</v>
      </c>
      <c r="E15" s="31">
        <f t="shared" ref="E15:G15" si="4">E14+E12</f>
        <v>0.5422533734</v>
      </c>
      <c r="F15" s="31">
        <f t="shared" si="4"/>
        <v>0.1971963595</v>
      </c>
      <c r="G15" s="31">
        <f t="shared" si="4"/>
        <v>0.1719933068</v>
      </c>
      <c r="H15" s="32" t="s">
        <v>14</v>
      </c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1"/>
      <c r="C16" s="1"/>
      <c r="D16" s="2"/>
      <c r="E16" s="2"/>
      <c r="F16" s="2"/>
      <c r="G16" s="2"/>
      <c r="H16" s="2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3" t="s">
        <v>17</v>
      </c>
      <c r="C17" s="33" t="s">
        <v>18</v>
      </c>
      <c r="D17" s="33" t="s">
        <v>19</v>
      </c>
      <c r="E17" s="33" t="s">
        <v>5</v>
      </c>
      <c r="F17" s="33" t="s">
        <v>6</v>
      </c>
      <c r="G17" s="33" t="s">
        <v>7</v>
      </c>
      <c r="H17" s="33" t="s">
        <v>8</v>
      </c>
      <c r="I17" s="34" t="s">
        <v>20</v>
      </c>
      <c r="J17" s="34" t="s">
        <v>21</v>
      </c>
      <c r="K17" s="34" t="s">
        <v>22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5" t="s">
        <v>23</v>
      </c>
      <c r="C18" s="35" t="s">
        <v>24</v>
      </c>
      <c r="D18" s="36">
        <f>115%*8853</f>
        <v>10180.95</v>
      </c>
      <c r="E18" s="37">
        <f>IF(D18=0,"",D18*VLOOKUP(C18,'LCA Data'!$C$8:$G$107,2,FALSE)*K18)</f>
        <v>34638.64619</v>
      </c>
      <c r="F18" s="37">
        <f>IF(D18=0,"",D18*VLOOKUP(C18,'LCA Data'!$C$8:$G$107,3,FALSE)*K18)</f>
        <v>276725.4047</v>
      </c>
      <c r="G18" s="37">
        <f>IF(D18=0,"",D18*VLOOKUP(C18,'LCA Data'!$C$8:$G$107,4,FALSE)*K18)</f>
        <v>194248.4536</v>
      </c>
      <c r="H18" s="38">
        <f>IF(D18=0,"",D18*VLOOKUP(C18,'LCA Data'!$C$8:$G$107,5,FALSE)*K18)</f>
        <v>0.000036040563</v>
      </c>
      <c r="I18" s="3" t="str">
        <f t="shared" ref="I18:I58" si="5">IF(B18="Foundation","Lists!B1:B7",IF(B18="Interior Wall","Lists!C1:C6",IF(B18="Exterior Wall","Lists!D1:D11",IF(B18="Floor","Lists!E1:E11",IF(B18="Roof","Lists!F1:F8",IF(B18="Window","Lists!G1:G7",IF(B18="Columns","Lists!H1:H5",IF(B18="Beams","Lists!I1:I5",IF(B18="MEP","Lists!J1:J19",IF(B18="Energy","Lists!K1:K11",IF(B18="Misc","Lists!L1:L9","Lists!M1")))))))))))</f>
        <v>Lists!J1:J19</v>
      </c>
      <c r="J18" s="3">
        <f t="shared" ref="J18:J58" si="6">IF(ISNA(E18),0,1)</f>
        <v>1</v>
      </c>
      <c r="K18" s="3">
        <f>IF(D18=0,"",VLOOKUP(C18,'LCA Data'!$C$8:$T$107,18,FALSE))</f>
        <v>1</v>
      </c>
      <c r="L18" s="3"/>
      <c r="M18" s="1"/>
      <c r="N18" s="1"/>
      <c r="O18" s="1"/>
      <c r="P18" s="1"/>
      <c r="Q18" s="1"/>
      <c r="R18" s="1"/>
      <c r="S18" s="1" t="s">
        <v>25</v>
      </c>
      <c r="T18" s="1"/>
      <c r="U18" s="1"/>
      <c r="V18" s="1"/>
      <c r="W18" s="1"/>
      <c r="X18" s="1"/>
      <c r="Y18" s="1"/>
      <c r="Z18" s="1"/>
    </row>
    <row r="19" ht="18.0" customHeight="1">
      <c r="A19" s="1"/>
      <c r="B19" s="35" t="s">
        <v>23</v>
      </c>
      <c r="C19" s="35" t="s">
        <v>26</v>
      </c>
      <c r="D19" s="36">
        <f>(760+120)*(1/3600)+0.54</f>
        <v>0.7844444444</v>
      </c>
      <c r="E19" s="37">
        <f>IF(D19=0,"",D19*VLOOKUP(C19,'LCA Data'!$C$8:$G$107,2,FALSE)*K19)</f>
        <v>6332.724751</v>
      </c>
      <c r="F19" s="37">
        <f>IF(D19=0,"",D19*VLOOKUP(C19,'LCA Data'!$C$8:$G$107,3,FALSE)*K19)</f>
        <v>79255.54256</v>
      </c>
      <c r="G19" s="37">
        <f>IF(D19=0,"",D19*VLOOKUP(C19,'LCA Data'!$C$8:$G$107,4,FALSE)*K19)</f>
        <v>47833.77763</v>
      </c>
      <c r="H19" s="38">
        <f>IF(D19=0,"",D19*VLOOKUP(C19,'LCA Data'!$C$8:$G$107,5,FALSE)*K19)</f>
        <v>0.0004973848445</v>
      </c>
      <c r="I19" s="3" t="str">
        <f t="shared" si="5"/>
        <v>Lists!J1:J19</v>
      </c>
      <c r="J19" s="3">
        <f t="shared" si="6"/>
        <v>1</v>
      </c>
      <c r="K19" s="3">
        <f>IF(D19=0,"",VLOOKUP(C19,'LCA Data'!$C$8:$T$107,18,FALSE))</f>
        <v>2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35" t="s">
        <v>27</v>
      </c>
      <c r="C20" s="39" t="s">
        <v>28</v>
      </c>
      <c r="D20" s="36">
        <v>34275.0</v>
      </c>
      <c r="E20" s="37">
        <f>IF(D20=0,"",D20*VLOOKUP(C20,'LCA Data'!$C$8:$G$107,2,FALSE)*K20)</f>
        <v>272057.3327</v>
      </c>
      <c r="F20" s="37">
        <f>IF(D20=0,"",D20*VLOOKUP(C20,'LCA Data'!$C$8:$G$107,3,FALSE)*K20)</f>
        <v>3736166.901</v>
      </c>
      <c r="G20" s="37">
        <f>IF(D20=0,"",D20*VLOOKUP(C20,'LCA Data'!$C$8:$G$107,4,FALSE)*K20)</f>
        <v>2895143.082</v>
      </c>
      <c r="H20" s="38">
        <f>IF(D20=0,"",D20*VLOOKUP(C20,'LCA Data'!$C$8:$G$107,5,FALSE)*K20)</f>
        <v>0.0007699775925</v>
      </c>
      <c r="I20" s="3" t="str">
        <f t="shared" si="5"/>
        <v>Lists!E1:E11</v>
      </c>
      <c r="J20" s="3">
        <f t="shared" si="6"/>
        <v>1</v>
      </c>
      <c r="K20" s="3">
        <f>IF(D20=0,"",VLOOKUP(C20,'LCA Data'!$C$8:$T$107,18,FALSE))</f>
        <v>1</v>
      </c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5" t="s">
        <v>29</v>
      </c>
      <c r="C21" s="39" t="s">
        <v>30</v>
      </c>
      <c r="D21" s="36">
        <v>2709.0</v>
      </c>
      <c r="E21" s="37">
        <f>IF(D21=0,"",D21*VLOOKUP(C21,'LCA Data'!$C$8:$G$107,2,FALSE)*K21)</f>
        <v>2639.9205</v>
      </c>
      <c r="F21" s="37">
        <f>IF(D21=0,"",D21*VLOOKUP(C21,'LCA Data'!$C$8:$G$107,3,FALSE)*K21)</f>
        <v>34690.13092</v>
      </c>
      <c r="G21" s="37">
        <f>IF(D21=0,"",D21*VLOOKUP(C21,'LCA Data'!$C$8:$G$107,4,FALSE)*K21)</f>
        <v>21494.69768</v>
      </c>
      <c r="H21" s="38">
        <f>IF(D21=0,"",D21*VLOOKUP(C21,'LCA Data'!$C$8:$G$107,5,FALSE)*K21)</f>
        <v>0.00000966663306</v>
      </c>
      <c r="I21" s="3" t="str">
        <f t="shared" si="5"/>
        <v>Lists!H1:H5</v>
      </c>
      <c r="J21" s="3">
        <f t="shared" si="6"/>
        <v>1</v>
      </c>
      <c r="K21" s="3">
        <f>IF(D21=0,"",VLOOKUP(C21,'LCA Data'!$C$8:$T$107,18,FALSE))</f>
        <v>1</v>
      </c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35" t="s">
        <v>31</v>
      </c>
      <c r="C22" s="40" t="s">
        <v>32</v>
      </c>
      <c r="D22" s="36">
        <v>10337.0</v>
      </c>
      <c r="E22" s="37">
        <f>IF(D22=0,"",D22*VLOOKUP(C22,'LCA Data'!$C$8:$G$107,2,FALSE)*K22)</f>
        <v>3517562.948</v>
      </c>
      <c r="F22" s="37">
        <f>IF(D22=0,"",D22*VLOOKUP(C22,'LCA Data'!$C$8:$G$107,3,FALSE)*K22)</f>
        <v>24200139.89</v>
      </c>
      <c r="G22" s="37">
        <f>IF(D22=0,"",D22*VLOOKUP(C22,'LCA Data'!$C$8:$G$107,4,FALSE)*K22)</f>
        <v>41055351.91</v>
      </c>
      <c r="H22" s="38">
        <f>IF(D22=0,"",D22*VLOOKUP(C22,'LCA Data'!$C$8:$G$107,5,FALSE)*K22)</f>
        <v>0.1382277629</v>
      </c>
      <c r="I22" s="3" t="str">
        <f t="shared" si="5"/>
        <v>Lists!B1:B7</v>
      </c>
      <c r="J22" s="3">
        <f t="shared" si="6"/>
        <v>1</v>
      </c>
      <c r="K22" s="3">
        <f>IF(D22=0,"",VLOOKUP(C22,'LCA Data'!$C$8:$T$107,18,FALSE))</f>
        <v>1</v>
      </c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35" t="s">
        <v>33</v>
      </c>
      <c r="C23" s="39" t="s">
        <v>34</v>
      </c>
      <c r="D23" s="36">
        <v>12826.0</v>
      </c>
      <c r="E23" s="37">
        <f>IF(D23=0,"",D23*VLOOKUP(C23,'LCA Data'!$C$8:$G$107,2,FALSE)*K23)</f>
        <v>177748.2232</v>
      </c>
      <c r="F23" s="37">
        <f>IF(D23=0,"",D23*VLOOKUP(C23,'LCA Data'!$C$8:$G$107,3,FALSE)*K23)</f>
        <v>2429556.245</v>
      </c>
      <c r="G23" s="37">
        <f>IF(D23=0,"",D23*VLOOKUP(C23,'LCA Data'!$C$8:$G$107,4,FALSE)*K23)</f>
        <v>2462743.955</v>
      </c>
      <c r="H23" s="38">
        <f>IF(D23=0,"",D23*VLOOKUP(C23,'LCA Data'!$C$8:$G$107,5,FALSE)*K23)</f>
        <v>0.002845666142</v>
      </c>
      <c r="I23" s="3" t="str">
        <f t="shared" si="5"/>
        <v>Lists!C1:C6</v>
      </c>
      <c r="J23" s="3">
        <f t="shared" si="6"/>
        <v>1</v>
      </c>
      <c r="K23" s="3">
        <f>IF(D23=0,"",VLOOKUP(C23,'LCA Data'!$C$8:$T$107,18,FALSE))</f>
        <v>1</v>
      </c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35" t="s">
        <v>35</v>
      </c>
      <c r="C24" s="39" t="s">
        <v>36</v>
      </c>
      <c r="D24" s="36"/>
      <c r="E24" s="37" t="str">
        <f>IF(D24=0,"",D24*VLOOKUP(C24,'LCA Data'!$C$8:$G$107,2,FALSE)*K24)</f>
        <v/>
      </c>
      <c r="F24" s="37" t="str">
        <f>IF(D24=0,"",D24*VLOOKUP(C24,'LCA Data'!$C$8:$G$107,3,FALSE)*K24)</f>
        <v/>
      </c>
      <c r="G24" s="37" t="str">
        <f>IF(D24=0,"",D24*VLOOKUP(C24,'LCA Data'!$C$8:$G$107,4,FALSE)*K24)</f>
        <v/>
      </c>
      <c r="H24" s="38" t="str">
        <f>IF(D24=0,"",D24*VLOOKUP(C24,'LCA Data'!$C$8:$G$107,5,FALSE)*K24)</f>
        <v/>
      </c>
      <c r="I24" s="3" t="str">
        <f t="shared" si="5"/>
        <v>Lists!M1</v>
      </c>
      <c r="J24" s="3">
        <f t="shared" si="6"/>
        <v>1</v>
      </c>
      <c r="K24" s="3" t="str">
        <f>IF(D24=0,"",VLOOKUP(C24,'LCA Data'!$C$8:$T$107,18,FALSE))</f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35" t="s">
        <v>35</v>
      </c>
      <c r="C25" s="39" t="s">
        <v>36</v>
      </c>
      <c r="D25" s="41"/>
      <c r="E25" s="37" t="str">
        <f>IF(D25=0,"",D25*VLOOKUP(C25,'LCA Data'!$C$8:$G$107,2,FALSE)*K25)</f>
        <v/>
      </c>
      <c r="F25" s="37" t="str">
        <f>IF(D25=0,"",D25*VLOOKUP(C25,'LCA Data'!$C$8:$G$107,3,FALSE)*K25)</f>
        <v/>
      </c>
      <c r="G25" s="37" t="str">
        <f>IF(D25=0,"",D25*VLOOKUP(C25,'LCA Data'!$C$8:$G$107,4,FALSE)*K25)</f>
        <v/>
      </c>
      <c r="H25" s="38" t="str">
        <f>IF(D25=0,"",D25*VLOOKUP(C25,'LCA Data'!$C$8:$G$107,5,FALSE)*K25)</f>
        <v/>
      </c>
      <c r="I25" s="3" t="str">
        <f t="shared" si="5"/>
        <v>Lists!M1</v>
      </c>
      <c r="J25" s="3">
        <f t="shared" si="6"/>
        <v>1</v>
      </c>
      <c r="K25" s="3" t="str">
        <f>IF(D25=0,"",VLOOKUP(C25,'LCA Data'!$C$8:$T$107,18,FALSE))</f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35" t="s">
        <v>35</v>
      </c>
      <c r="C26" s="39" t="s">
        <v>36</v>
      </c>
      <c r="D26" s="41"/>
      <c r="E26" s="37" t="str">
        <f>IF(D26=0,"",D26*VLOOKUP(C26,'LCA Data'!$C$8:$G$107,2,FALSE)*K26)</f>
        <v/>
      </c>
      <c r="F26" s="37" t="str">
        <f>IF(D26=0,"",D26*VLOOKUP(C26,'LCA Data'!$C$8:$G$107,3,FALSE)*K26)</f>
        <v/>
      </c>
      <c r="G26" s="37" t="str">
        <f>IF(D26=0,"",D26*VLOOKUP(C26,'LCA Data'!$C$8:$G$107,4,FALSE)*K26)</f>
        <v/>
      </c>
      <c r="H26" s="38" t="str">
        <f>IF(D26=0,"",D26*VLOOKUP(C26,'LCA Data'!$C$8:$G$107,5,FALSE)*K26)</f>
        <v/>
      </c>
      <c r="I26" s="3" t="str">
        <f t="shared" si="5"/>
        <v>Lists!M1</v>
      </c>
      <c r="J26" s="3">
        <f t="shared" si="6"/>
        <v>1</v>
      </c>
      <c r="K26" s="3" t="str">
        <f>IF(D26=0,"",VLOOKUP(C26,'LCA Data'!$C$8:$T$107,18,FALSE))</f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35" t="s">
        <v>35</v>
      </c>
      <c r="C27" s="39" t="s">
        <v>36</v>
      </c>
      <c r="D27" s="36"/>
      <c r="E27" s="37" t="str">
        <f>IF(D27=0,"",D27*VLOOKUP(C27,'LCA Data'!$C$8:$G$107,2,FALSE)*K27)</f>
        <v/>
      </c>
      <c r="F27" s="37" t="str">
        <f>IF(D27=0,"",D27*VLOOKUP(C27,'LCA Data'!$C$8:$G$107,3,FALSE)*K27)</f>
        <v/>
      </c>
      <c r="G27" s="37" t="str">
        <f>IF(D27=0,"",D27*VLOOKUP(C27,'LCA Data'!$C$8:$G$107,4,FALSE)*K27)</f>
        <v/>
      </c>
      <c r="H27" s="38" t="str">
        <f>IF(D27=0,"",D27*VLOOKUP(C27,'LCA Data'!$C$8:$G$107,5,FALSE)*K27)</f>
        <v/>
      </c>
      <c r="I27" s="3" t="str">
        <f t="shared" si="5"/>
        <v>Lists!M1</v>
      </c>
      <c r="J27" s="3">
        <f t="shared" si="6"/>
        <v>1</v>
      </c>
      <c r="K27" s="3" t="str">
        <f>IF(D27=0,"",VLOOKUP(C27,'LCA Data'!$C$8:$T$107,18,FALSE))</f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35" t="s">
        <v>35</v>
      </c>
      <c r="C28" s="39" t="s">
        <v>36</v>
      </c>
      <c r="D28" s="36"/>
      <c r="E28" s="37" t="str">
        <f>IF(D28=0,"",D28*VLOOKUP(C28,'LCA Data'!$C$8:$G$107,2,FALSE)*K28)</f>
        <v/>
      </c>
      <c r="F28" s="37" t="str">
        <f>IF(D28=0,"",D28*VLOOKUP(C28,'LCA Data'!$C$8:$G$107,3,FALSE)*K28)</f>
        <v/>
      </c>
      <c r="G28" s="37" t="str">
        <f>IF(D28=0,"",D28*VLOOKUP(C28,'LCA Data'!$C$8:$G$107,4,FALSE)*K28)</f>
        <v/>
      </c>
      <c r="H28" s="38" t="str">
        <f>IF(D28=0,"",D28*VLOOKUP(C28,'LCA Data'!$C$8:$G$107,5,FALSE)*K28)</f>
        <v/>
      </c>
      <c r="I28" s="3" t="str">
        <f t="shared" si="5"/>
        <v>Lists!M1</v>
      </c>
      <c r="J28" s="3">
        <f t="shared" si="6"/>
        <v>1</v>
      </c>
      <c r="K28" s="3" t="str">
        <f>IF(D28=0,"",VLOOKUP(C28,'LCA Data'!$C$8:$T$107,18,FALSE))</f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35" t="s">
        <v>35</v>
      </c>
      <c r="C29" s="39" t="s">
        <v>36</v>
      </c>
      <c r="D29" s="36"/>
      <c r="E29" s="37" t="str">
        <f>IF(D29=0,"",D29*VLOOKUP(C29,'LCA Data'!$C$8:$G$107,2,FALSE)*K29)</f>
        <v/>
      </c>
      <c r="F29" s="37" t="str">
        <f>IF(D29=0,"",D29*VLOOKUP(C29,'LCA Data'!$C$8:$G$107,3,FALSE)*K29)</f>
        <v/>
      </c>
      <c r="G29" s="37" t="str">
        <f>IF(D29=0,"",D29*VLOOKUP(C29,'LCA Data'!$C$8:$G$107,4,FALSE)*K29)</f>
        <v/>
      </c>
      <c r="H29" s="38" t="str">
        <f>IF(D29=0,"",D29*VLOOKUP(C29,'LCA Data'!$C$8:$G$107,5,FALSE)*K29)</f>
        <v/>
      </c>
      <c r="I29" s="3" t="str">
        <f t="shared" si="5"/>
        <v>Lists!M1</v>
      </c>
      <c r="J29" s="3">
        <f t="shared" si="6"/>
        <v>1</v>
      </c>
      <c r="K29" s="3" t="str">
        <f>IF(D29=0,"",VLOOKUP(C29,'LCA Data'!$C$8:$T$107,18,FALSE))</f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35" t="s">
        <v>35</v>
      </c>
      <c r="C30" s="39" t="s">
        <v>36</v>
      </c>
      <c r="D30" s="36"/>
      <c r="E30" s="37" t="str">
        <f>IF(D30=0,"",D30*VLOOKUP(C30,'LCA Data'!$C$8:$G$107,2,FALSE)*K30)</f>
        <v/>
      </c>
      <c r="F30" s="37" t="str">
        <f>IF(D30=0,"",D30*VLOOKUP(C30,'LCA Data'!$C$8:$G$107,3,FALSE)*K30)</f>
        <v/>
      </c>
      <c r="G30" s="37" t="str">
        <f>IF(D30=0,"",D30*VLOOKUP(C30,'LCA Data'!$C$8:$G$107,4,FALSE)*K30)</f>
        <v/>
      </c>
      <c r="H30" s="38" t="str">
        <f>IF(D30=0,"",D30*VLOOKUP(C30,'LCA Data'!$C$8:$G$107,5,FALSE)*K30)</f>
        <v/>
      </c>
      <c r="I30" s="3" t="str">
        <f t="shared" si="5"/>
        <v>Lists!M1</v>
      </c>
      <c r="J30" s="3">
        <f t="shared" si="6"/>
        <v>1</v>
      </c>
      <c r="K30" s="3" t="str">
        <f>IF(D30=0,"",VLOOKUP(C30,'LCA Data'!$C$8:$T$107,18,FALSE))</f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35" t="s">
        <v>35</v>
      </c>
      <c r="C31" s="39" t="s">
        <v>36</v>
      </c>
      <c r="D31" s="36"/>
      <c r="E31" s="37" t="str">
        <f>IF(D31=0,"",D31*VLOOKUP(C31,'LCA Data'!$C$8:$G$107,2,FALSE)*K31)</f>
        <v/>
      </c>
      <c r="F31" s="37" t="str">
        <f>IF(D31=0,"",D31*VLOOKUP(C31,'LCA Data'!$C$8:$G$107,3,FALSE)*K31)</f>
        <v/>
      </c>
      <c r="G31" s="37" t="str">
        <f>IF(D31=0,"",D31*VLOOKUP(C31,'LCA Data'!$C$8:$G$107,4,FALSE)*K31)</f>
        <v/>
      </c>
      <c r="H31" s="38" t="str">
        <f>IF(D31=0,"",D31*VLOOKUP(C31,'LCA Data'!$C$8:$G$107,5,FALSE)*K31)</f>
        <v/>
      </c>
      <c r="I31" s="3" t="str">
        <f t="shared" si="5"/>
        <v>Lists!M1</v>
      </c>
      <c r="J31" s="3">
        <f t="shared" si="6"/>
        <v>1</v>
      </c>
      <c r="K31" s="3" t="str">
        <f>IF(D31=0,"",VLOOKUP(C31,'LCA Data'!$C$8:$T$107,18,FALSE))</f>
        <v/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35" t="s">
        <v>35</v>
      </c>
      <c r="C32" s="39" t="s">
        <v>36</v>
      </c>
      <c r="D32" s="36"/>
      <c r="E32" s="37" t="str">
        <f>IF(D32=0,"",D32*VLOOKUP(C32,'LCA Data'!$C$8:$G$107,2,FALSE)*K32)</f>
        <v/>
      </c>
      <c r="F32" s="37" t="str">
        <f>IF(D32=0,"",D32*VLOOKUP(C32,'LCA Data'!$C$8:$G$107,3,FALSE)*K32)</f>
        <v/>
      </c>
      <c r="G32" s="37" t="str">
        <f>IF(D32=0,"",D32*VLOOKUP(C32,'LCA Data'!$C$8:$G$107,4,FALSE)*K32)</f>
        <v/>
      </c>
      <c r="H32" s="38" t="str">
        <f>IF(D32=0,"",D32*VLOOKUP(C32,'LCA Data'!$C$8:$G$107,5,FALSE)*K32)</f>
        <v/>
      </c>
      <c r="I32" s="3" t="str">
        <f t="shared" si="5"/>
        <v>Lists!M1</v>
      </c>
      <c r="J32" s="3">
        <f t="shared" si="6"/>
        <v>1</v>
      </c>
      <c r="K32" s="3" t="str">
        <f>IF(D32=0,"",VLOOKUP(C32,'LCA Data'!$C$8:$T$107,18,FALSE))</f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35" t="s">
        <v>35</v>
      </c>
      <c r="C33" s="39" t="s">
        <v>36</v>
      </c>
      <c r="D33" s="36"/>
      <c r="E33" s="37" t="str">
        <f>IF(D33=0,"",D33*VLOOKUP(C33,'LCA Data'!$C$8:$G$107,2,FALSE)*K33)</f>
        <v/>
      </c>
      <c r="F33" s="37" t="str">
        <f>IF(D33=0,"",D33*VLOOKUP(C33,'LCA Data'!$C$8:$G$107,3,FALSE)*K33)</f>
        <v/>
      </c>
      <c r="G33" s="37" t="str">
        <f>IF(D33=0,"",D33*VLOOKUP(C33,'LCA Data'!$C$8:$G$107,4,FALSE)*K33)</f>
        <v/>
      </c>
      <c r="H33" s="38" t="str">
        <f>IF(D33=0,"",D33*VLOOKUP(C33,'LCA Data'!$C$8:$G$107,5,FALSE)*K33)</f>
        <v/>
      </c>
      <c r="I33" s="3" t="str">
        <f t="shared" si="5"/>
        <v>Lists!M1</v>
      </c>
      <c r="J33" s="3">
        <f t="shared" si="6"/>
        <v>1</v>
      </c>
      <c r="K33" s="3" t="str">
        <f>IF(D33=0,"",VLOOKUP(C33,'LCA Data'!$C$8:$T$107,18,FALSE))</f>
        <v/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5" t="s">
        <v>35</v>
      </c>
      <c r="C34" s="39" t="s">
        <v>36</v>
      </c>
      <c r="D34" s="36"/>
      <c r="E34" s="37" t="str">
        <f>IF(D34=0,"",D34*VLOOKUP(C34,'LCA Data'!$C$8:$G$107,2,FALSE)*K34)</f>
        <v/>
      </c>
      <c r="F34" s="37" t="str">
        <f>IF(D34=0,"",D34*VLOOKUP(C34,'LCA Data'!$C$8:$G$107,3,FALSE)*K34)</f>
        <v/>
      </c>
      <c r="G34" s="37" t="str">
        <f>IF(D34=0,"",D34*VLOOKUP(C34,'LCA Data'!$C$8:$G$107,4,FALSE)*K34)</f>
        <v/>
      </c>
      <c r="H34" s="38" t="str">
        <f>IF(D34=0,"",D34*VLOOKUP(C34,'LCA Data'!$C$8:$G$107,5,FALSE)*K34)</f>
        <v/>
      </c>
      <c r="I34" s="3" t="str">
        <f t="shared" si="5"/>
        <v>Lists!M1</v>
      </c>
      <c r="J34" s="3">
        <f t="shared" si="6"/>
        <v>1</v>
      </c>
      <c r="K34" s="3" t="str">
        <f>IF(D34=0,"",VLOOKUP(C34,'LCA Data'!$C$8:$T$107,18,FALSE))</f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35" t="s">
        <v>35</v>
      </c>
      <c r="C35" s="39" t="s">
        <v>36</v>
      </c>
      <c r="D35" s="36"/>
      <c r="E35" s="37" t="str">
        <f>IF(D35=0,"",D35*VLOOKUP(C35,'LCA Data'!$C$8:$G$107,2,FALSE)*K35)</f>
        <v/>
      </c>
      <c r="F35" s="37" t="str">
        <f>IF(D35=0,"",D35*VLOOKUP(C35,'LCA Data'!$C$8:$G$107,3,FALSE)*K35)</f>
        <v/>
      </c>
      <c r="G35" s="37" t="str">
        <f>IF(D35=0,"",D35*VLOOKUP(C35,'LCA Data'!$C$8:$G$107,4,FALSE)*K35)</f>
        <v/>
      </c>
      <c r="H35" s="38" t="str">
        <f>IF(D35=0,"",D35*VLOOKUP(C35,'LCA Data'!$C$8:$G$107,5,FALSE)*K35)</f>
        <v/>
      </c>
      <c r="I35" s="3" t="str">
        <f t="shared" si="5"/>
        <v>Lists!M1</v>
      </c>
      <c r="J35" s="3">
        <f t="shared" si="6"/>
        <v>1</v>
      </c>
      <c r="K35" s="3" t="str">
        <f>IF(D35=0,"",VLOOKUP(C35,'LCA Data'!$C$8:$T$107,18,FALSE))</f>
        <v/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5" t="s">
        <v>35</v>
      </c>
      <c r="C36" s="39" t="s">
        <v>36</v>
      </c>
      <c r="D36" s="36"/>
      <c r="E36" s="37" t="str">
        <f>IF(D36=0,"",D36*VLOOKUP(C36,'LCA Data'!$C$8:$G$107,2,FALSE)*K36)</f>
        <v/>
      </c>
      <c r="F36" s="37" t="str">
        <f>IF(D36=0,"",D36*VLOOKUP(C36,'LCA Data'!$C$8:$G$107,3,FALSE)*K36)</f>
        <v/>
      </c>
      <c r="G36" s="37" t="str">
        <f>IF(D36=0,"",D36*VLOOKUP(C36,'LCA Data'!$C$8:$G$107,4,FALSE)*K36)</f>
        <v/>
      </c>
      <c r="H36" s="38" t="str">
        <f>IF(D36=0,"",D36*VLOOKUP(C36,'LCA Data'!$C$8:$G$107,5,FALSE)*K36)</f>
        <v/>
      </c>
      <c r="I36" s="3" t="str">
        <f t="shared" si="5"/>
        <v>Lists!M1</v>
      </c>
      <c r="J36" s="3">
        <f t="shared" si="6"/>
        <v>1</v>
      </c>
      <c r="K36" s="3" t="str">
        <f>IF(D36=0,"",VLOOKUP(C36,'LCA Data'!$C$8:$T$107,18,FALSE))</f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35" t="s">
        <v>35</v>
      </c>
      <c r="C37" s="39" t="s">
        <v>36</v>
      </c>
      <c r="D37" s="36"/>
      <c r="E37" s="37" t="str">
        <f>IF(D37=0,"",D37*VLOOKUP(C37,'LCA Data'!$C$8:$G$107,2,FALSE)*K37)</f>
        <v/>
      </c>
      <c r="F37" s="37" t="str">
        <f>IF(D37=0,"",D37*VLOOKUP(C37,'LCA Data'!$C$8:$G$107,3,FALSE)*K37)</f>
        <v/>
      </c>
      <c r="G37" s="37" t="str">
        <f>IF(D37=0,"",D37*VLOOKUP(C37,'LCA Data'!$C$8:$G$107,4,FALSE)*K37)</f>
        <v/>
      </c>
      <c r="H37" s="38" t="str">
        <f>IF(D37=0,"",D37*VLOOKUP(C37,'LCA Data'!$C$8:$G$107,5,FALSE)*K37)</f>
        <v/>
      </c>
      <c r="I37" s="3" t="str">
        <f t="shared" si="5"/>
        <v>Lists!M1</v>
      </c>
      <c r="J37" s="3">
        <f t="shared" si="6"/>
        <v>1</v>
      </c>
      <c r="K37" s="3" t="str">
        <f>IF(D37=0,"",VLOOKUP(C37,'LCA Data'!$C$8:$T$107,18,FALSE))</f>
        <v/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35" t="s">
        <v>35</v>
      </c>
      <c r="C38" s="39" t="s">
        <v>36</v>
      </c>
      <c r="D38" s="36"/>
      <c r="E38" s="37" t="str">
        <f>IF(D38=0,"",D38*VLOOKUP(C38,'LCA Data'!$C$8:$G$107,2,FALSE)*K38)</f>
        <v/>
      </c>
      <c r="F38" s="37" t="str">
        <f>IF(D38=0,"",D38*VLOOKUP(C38,'LCA Data'!$C$8:$G$107,3,FALSE)*K38)</f>
        <v/>
      </c>
      <c r="G38" s="37" t="str">
        <f>IF(D38=0,"",D38*VLOOKUP(C38,'LCA Data'!$C$8:$G$107,4,FALSE)*K38)</f>
        <v/>
      </c>
      <c r="H38" s="38" t="str">
        <f>IF(D38=0,"",D38*VLOOKUP(C38,'LCA Data'!$C$8:$G$107,5,FALSE)*K38)</f>
        <v/>
      </c>
      <c r="I38" s="3" t="str">
        <f t="shared" si="5"/>
        <v>Lists!M1</v>
      </c>
      <c r="J38" s="3">
        <f t="shared" si="6"/>
        <v>1</v>
      </c>
      <c r="K38" s="3" t="str">
        <f>IF(D38=0,"",VLOOKUP(C38,'LCA Data'!$C$8:$T$107,18,FALSE))</f>
        <v/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35" t="s">
        <v>35</v>
      </c>
      <c r="C39" s="39" t="s">
        <v>36</v>
      </c>
      <c r="D39" s="36"/>
      <c r="E39" s="37" t="str">
        <f>IF(D39=0,"",D39*VLOOKUP(C39,'LCA Data'!$C$8:$G$107,2,FALSE)*K39)</f>
        <v/>
      </c>
      <c r="F39" s="37" t="str">
        <f>IF(D39=0,"",D39*VLOOKUP(C39,'LCA Data'!$C$8:$G$107,3,FALSE)*K39)</f>
        <v/>
      </c>
      <c r="G39" s="37" t="str">
        <f>IF(D39=0,"",D39*VLOOKUP(C39,'LCA Data'!$C$8:$G$107,4,FALSE)*K39)</f>
        <v/>
      </c>
      <c r="H39" s="38" t="str">
        <f>IF(D39=0,"",D39*VLOOKUP(C39,'LCA Data'!$C$8:$G$107,5,FALSE)*K39)</f>
        <v/>
      </c>
      <c r="I39" s="3" t="str">
        <f t="shared" si="5"/>
        <v>Lists!M1</v>
      </c>
      <c r="J39" s="3">
        <f t="shared" si="6"/>
        <v>1</v>
      </c>
      <c r="K39" s="3" t="str">
        <f>IF(D39=0,"",VLOOKUP(C39,'LCA Data'!$C$8:$T$107,18,FALSE))</f>
        <v/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35" t="s">
        <v>35</v>
      </c>
      <c r="C40" s="39" t="s">
        <v>36</v>
      </c>
      <c r="D40" s="36"/>
      <c r="E40" s="37" t="str">
        <f>IF(D40=0,"",D40*VLOOKUP(C40,'LCA Data'!$C$8:$G$107,2,FALSE)*K40)</f>
        <v/>
      </c>
      <c r="F40" s="37" t="str">
        <f>IF(D40=0,"",D40*VLOOKUP(C40,'LCA Data'!$C$8:$G$107,3,FALSE)*K40)</f>
        <v/>
      </c>
      <c r="G40" s="37" t="str">
        <f>IF(D40=0,"",D40*VLOOKUP(C40,'LCA Data'!$C$8:$G$107,4,FALSE)*K40)</f>
        <v/>
      </c>
      <c r="H40" s="38" t="str">
        <f>IF(D40=0,"",D40*VLOOKUP(C40,'LCA Data'!$C$8:$G$107,5,FALSE)*K40)</f>
        <v/>
      </c>
      <c r="I40" s="3" t="str">
        <f t="shared" si="5"/>
        <v>Lists!M1</v>
      </c>
      <c r="J40" s="3">
        <f t="shared" si="6"/>
        <v>1</v>
      </c>
      <c r="K40" s="3" t="str">
        <f>IF(D40=0,"",VLOOKUP(C40,'LCA Data'!$C$8:$T$107,18,FALSE))</f>
        <v/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35" t="s">
        <v>35</v>
      </c>
      <c r="C41" s="39" t="s">
        <v>36</v>
      </c>
      <c r="D41" s="36"/>
      <c r="E41" s="37" t="str">
        <f>IF(D41=0,"",D41*VLOOKUP(C41,'LCA Data'!$C$8:$G$107,2,FALSE)*K41)</f>
        <v/>
      </c>
      <c r="F41" s="37" t="str">
        <f>IF(D41=0,"",D41*VLOOKUP(C41,'LCA Data'!$C$8:$G$107,3,FALSE)*K41)</f>
        <v/>
      </c>
      <c r="G41" s="37" t="str">
        <f>IF(D41=0,"",D41*VLOOKUP(C41,'LCA Data'!$C$8:$G$107,4,FALSE)*K41)</f>
        <v/>
      </c>
      <c r="H41" s="38" t="str">
        <f>IF(D41=0,"",D41*VLOOKUP(C41,'LCA Data'!$C$8:$G$107,5,FALSE)*K41)</f>
        <v/>
      </c>
      <c r="I41" s="3" t="str">
        <f t="shared" si="5"/>
        <v>Lists!M1</v>
      </c>
      <c r="J41" s="3">
        <f t="shared" si="6"/>
        <v>1</v>
      </c>
      <c r="K41" s="3" t="str">
        <f>IF(D41=0,"",VLOOKUP(C41,'LCA Data'!$C$8:$T$107,18,FALSE))</f>
        <v/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5" t="s">
        <v>35</v>
      </c>
      <c r="C42" s="39" t="s">
        <v>36</v>
      </c>
      <c r="D42" s="36"/>
      <c r="E42" s="37" t="str">
        <f>IF(D42=0,"",D42*VLOOKUP(C42,'LCA Data'!$C$8:$G$107,2,FALSE)*K42)</f>
        <v/>
      </c>
      <c r="F42" s="37" t="str">
        <f>IF(D42=0,"",D42*VLOOKUP(C42,'LCA Data'!$C$8:$G$107,3,FALSE)*K42)</f>
        <v/>
      </c>
      <c r="G42" s="37" t="str">
        <f>IF(D42=0,"",D42*VLOOKUP(C42,'LCA Data'!$C$8:$G$107,4,FALSE)*K42)</f>
        <v/>
      </c>
      <c r="H42" s="38" t="str">
        <f>IF(D42=0,"",D42*VLOOKUP(C42,'LCA Data'!$C$8:$G$107,5,FALSE)*K42)</f>
        <v/>
      </c>
      <c r="I42" s="3" t="str">
        <f t="shared" si="5"/>
        <v>Lists!M1</v>
      </c>
      <c r="J42" s="3">
        <f t="shared" si="6"/>
        <v>1</v>
      </c>
      <c r="K42" s="3" t="str">
        <f>IF(D42=0,"",VLOOKUP(C42,'LCA Data'!$C$8:$T$107,18,FALSE))</f>
        <v/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35" t="s">
        <v>35</v>
      </c>
      <c r="C43" s="39" t="s">
        <v>36</v>
      </c>
      <c r="D43" s="36"/>
      <c r="E43" s="37" t="str">
        <f>IF(D43=0,"",D43*VLOOKUP(C43,'LCA Data'!$C$8:$G$107,2,FALSE)*K43)</f>
        <v/>
      </c>
      <c r="F43" s="37" t="str">
        <f>IF(D43=0,"",D43*VLOOKUP(C43,'LCA Data'!$C$8:$G$107,3,FALSE)*K43)</f>
        <v/>
      </c>
      <c r="G43" s="37" t="str">
        <f>IF(D43=0,"",D43*VLOOKUP(C43,'LCA Data'!$C$8:$G$107,4,FALSE)*K43)</f>
        <v/>
      </c>
      <c r="H43" s="38" t="str">
        <f>IF(D43=0,"",D43*VLOOKUP(C43,'LCA Data'!$C$8:$G$107,5,FALSE)*K43)</f>
        <v/>
      </c>
      <c r="I43" s="3" t="str">
        <f t="shared" si="5"/>
        <v>Lists!M1</v>
      </c>
      <c r="J43" s="3">
        <f t="shared" si="6"/>
        <v>1</v>
      </c>
      <c r="K43" s="3" t="str">
        <f>IF(D43=0,"",VLOOKUP(C43,'LCA Data'!$C$8:$T$107,18,FALSE))</f>
        <v/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5" t="s">
        <v>35</v>
      </c>
      <c r="C44" s="39" t="s">
        <v>36</v>
      </c>
      <c r="D44" s="36"/>
      <c r="E44" s="37" t="str">
        <f>IF(D44=0,"",D44*VLOOKUP(C44,'LCA Data'!$C$8:$G$107,2,FALSE)*K44)</f>
        <v/>
      </c>
      <c r="F44" s="37" t="str">
        <f>IF(D44=0,"",D44*VLOOKUP(C44,'LCA Data'!$C$8:$G$107,3,FALSE)*K44)</f>
        <v/>
      </c>
      <c r="G44" s="37" t="str">
        <f>IF(D44=0,"",D44*VLOOKUP(C44,'LCA Data'!$C$8:$G$107,4,FALSE)*K44)</f>
        <v/>
      </c>
      <c r="H44" s="38" t="str">
        <f>IF(D44=0,"",D44*VLOOKUP(C44,'LCA Data'!$C$8:$G$107,5,FALSE)*K44)</f>
        <v/>
      </c>
      <c r="I44" s="3" t="str">
        <f t="shared" si="5"/>
        <v>Lists!M1</v>
      </c>
      <c r="J44" s="3">
        <f t="shared" si="6"/>
        <v>1</v>
      </c>
      <c r="K44" s="3" t="str">
        <f>IF(D44=0,"",VLOOKUP(C44,'LCA Data'!$C$8:$T$107,18,FALSE))</f>
        <v/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35" t="s">
        <v>35</v>
      </c>
      <c r="C45" s="39" t="s">
        <v>36</v>
      </c>
      <c r="D45" s="36"/>
      <c r="E45" s="37" t="str">
        <f>IF(D45=0,"",D45*VLOOKUP(C45,'LCA Data'!$C$8:$G$107,2,FALSE)*K45)</f>
        <v/>
      </c>
      <c r="F45" s="37" t="str">
        <f>IF(D45=0,"",D45*VLOOKUP(C45,'LCA Data'!$C$8:$G$107,3,FALSE)*K45)</f>
        <v/>
      </c>
      <c r="G45" s="37" t="str">
        <f>IF(D45=0,"",D45*VLOOKUP(C45,'LCA Data'!$C$8:$G$107,4,FALSE)*K45)</f>
        <v/>
      </c>
      <c r="H45" s="38" t="str">
        <f>IF(D45=0,"",D45*VLOOKUP(C45,'LCA Data'!$C$8:$G$107,5,FALSE)*K45)</f>
        <v/>
      </c>
      <c r="I45" s="3" t="str">
        <f t="shared" si="5"/>
        <v>Lists!M1</v>
      </c>
      <c r="J45" s="3">
        <f t="shared" si="6"/>
        <v>1</v>
      </c>
      <c r="K45" s="3" t="str">
        <f>IF(D45=0,"",VLOOKUP(C45,'LCA Data'!$C$8:$T$107,18,FALSE))</f>
        <v/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35" t="s">
        <v>35</v>
      </c>
      <c r="C46" s="39" t="s">
        <v>36</v>
      </c>
      <c r="D46" s="36"/>
      <c r="E46" s="37" t="str">
        <f>IF(D46=0,"",D46*VLOOKUP(C46,'LCA Data'!$C$8:$G$107,2,FALSE)*K46)</f>
        <v/>
      </c>
      <c r="F46" s="37" t="str">
        <f>IF(D46=0,"",D46*VLOOKUP(C46,'LCA Data'!$C$8:$G$107,3,FALSE)*K46)</f>
        <v/>
      </c>
      <c r="G46" s="37" t="str">
        <f>IF(D46=0,"",D46*VLOOKUP(C46,'LCA Data'!$C$8:$G$107,4,FALSE)*K46)</f>
        <v/>
      </c>
      <c r="H46" s="38" t="str">
        <f>IF(D46=0,"",D46*VLOOKUP(C46,'LCA Data'!$C$8:$G$107,5,FALSE)*K46)</f>
        <v/>
      </c>
      <c r="I46" s="3" t="str">
        <f t="shared" si="5"/>
        <v>Lists!M1</v>
      </c>
      <c r="J46" s="3">
        <f t="shared" si="6"/>
        <v>1</v>
      </c>
      <c r="K46" s="3" t="str">
        <f>IF(D46=0,"",VLOOKUP(C46,'LCA Data'!$C$8:$T$107,18,FALSE))</f>
        <v/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35" t="s">
        <v>35</v>
      </c>
      <c r="C47" s="39" t="s">
        <v>36</v>
      </c>
      <c r="D47" s="36"/>
      <c r="E47" s="37" t="str">
        <f>IF(D47=0,"",D47*VLOOKUP(C47,'LCA Data'!$C$8:$G$107,2,FALSE)*K47)</f>
        <v/>
      </c>
      <c r="F47" s="37" t="str">
        <f>IF(D47=0,"",D47*VLOOKUP(C47,'LCA Data'!$C$8:$G$107,3,FALSE)*K47)</f>
        <v/>
      </c>
      <c r="G47" s="37" t="str">
        <f>IF(D47=0,"",D47*VLOOKUP(C47,'LCA Data'!$C$8:$G$107,4,FALSE)*K47)</f>
        <v/>
      </c>
      <c r="H47" s="38" t="str">
        <f>IF(D47=0,"",D47*VLOOKUP(C47,'LCA Data'!$C$8:$G$107,5,FALSE)*K47)</f>
        <v/>
      </c>
      <c r="I47" s="3" t="str">
        <f t="shared" si="5"/>
        <v>Lists!M1</v>
      </c>
      <c r="J47" s="3">
        <f t="shared" si="6"/>
        <v>1</v>
      </c>
      <c r="K47" s="3" t="str">
        <f>IF(D47=0,"",VLOOKUP(C47,'LCA Data'!$C$8:$T$107,18,FALSE))</f>
        <v/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35" t="s">
        <v>35</v>
      </c>
      <c r="C48" s="39" t="s">
        <v>36</v>
      </c>
      <c r="D48" s="36"/>
      <c r="E48" s="37" t="str">
        <f>IF(D48=0,"",D48*VLOOKUP(C48,'LCA Data'!$C$8:$G$107,2,FALSE)*K48)</f>
        <v/>
      </c>
      <c r="F48" s="37" t="str">
        <f>IF(D48=0,"",D48*VLOOKUP(C48,'LCA Data'!$C$8:$G$107,3,FALSE)*K48)</f>
        <v/>
      </c>
      <c r="G48" s="37" t="str">
        <f>IF(D48=0,"",D48*VLOOKUP(C48,'LCA Data'!$C$8:$G$107,4,FALSE)*K48)</f>
        <v/>
      </c>
      <c r="H48" s="38" t="str">
        <f>IF(D48=0,"",D48*VLOOKUP(C48,'LCA Data'!$C$8:$G$107,5,FALSE)*K48)</f>
        <v/>
      </c>
      <c r="I48" s="3" t="str">
        <f t="shared" si="5"/>
        <v>Lists!M1</v>
      </c>
      <c r="J48" s="3">
        <f t="shared" si="6"/>
        <v>1</v>
      </c>
      <c r="K48" s="3" t="str">
        <f>IF(D48=0,"",VLOOKUP(C48,'LCA Data'!$C$8:$T$107,18,FALSE))</f>
        <v/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35" t="s">
        <v>35</v>
      </c>
      <c r="C49" s="39" t="s">
        <v>36</v>
      </c>
      <c r="D49" s="36"/>
      <c r="E49" s="37" t="str">
        <f>IF(D49=0,"",D49*VLOOKUP(C49,'LCA Data'!$C$8:$G$107,2,FALSE)*K49)</f>
        <v/>
      </c>
      <c r="F49" s="37" t="str">
        <f>IF(D49=0,"",D49*VLOOKUP(C49,'LCA Data'!$C$8:$G$107,3,FALSE)*K49)</f>
        <v/>
      </c>
      <c r="G49" s="37" t="str">
        <f>IF(D49=0,"",D49*VLOOKUP(C49,'LCA Data'!$C$8:$G$107,4,FALSE)*K49)</f>
        <v/>
      </c>
      <c r="H49" s="38" t="str">
        <f>IF(D49=0,"",D49*VLOOKUP(C49,'LCA Data'!$C$8:$G$107,5,FALSE)*K49)</f>
        <v/>
      </c>
      <c r="I49" s="3" t="str">
        <f t="shared" si="5"/>
        <v>Lists!M1</v>
      </c>
      <c r="J49" s="3">
        <f t="shared" si="6"/>
        <v>1</v>
      </c>
      <c r="K49" s="3" t="str">
        <f>IF(D49=0,"",VLOOKUP(C49,'LCA Data'!$C$8:$T$107,18,FALSE))</f>
        <v/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35" t="s">
        <v>35</v>
      </c>
      <c r="C50" s="39" t="s">
        <v>36</v>
      </c>
      <c r="D50" s="36"/>
      <c r="E50" s="37" t="str">
        <f>IF(D50=0,"",D50*VLOOKUP(C50,'LCA Data'!$C$8:$G$107,2,FALSE)*K50)</f>
        <v/>
      </c>
      <c r="F50" s="37" t="str">
        <f>IF(D50=0,"",D50*VLOOKUP(C50,'LCA Data'!$C$8:$G$107,3,FALSE)*K50)</f>
        <v/>
      </c>
      <c r="G50" s="37" t="str">
        <f>IF(D50=0,"",D50*VLOOKUP(C50,'LCA Data'!$C$8:$G$107,4,FALSE)*K50)</f>
        <v/>
      </c>
      <c r="H50" s="38" t="str">
        <f>IF(D50=0,"",D50*VLOOKUP(C50,'LCA Data'!$C$8:$G$107,5,FALSE)*K50)</f>
        <v/>
      </c>
      <c r="I50" s="3" t="str">
        <f t="shared" si="5"/>
        <v>Lists!M1</v>
      </c>
      <c r="J50" s="3">
        <f t="shared" si="6"/>
        <v>1</v>
      </c>
      <c r="K50" s="3" t="str">
        <f>IF(D50=0,"",VLOOKUP(C50,'LCA Data'!$C$8:$T$107,18,FALSE))</f>
        <v/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35" t="s">
        <v>35</v>
      </c>
      <c r="C51" s="39" t="s">
        <v>36</v>
      </c>
      <c r="D51" s="36"/>
      <c r="E51" s="37" t="str">
        <f>IF(D51=0,"",D51*VLOOKUP(C51,'LCA Data'!$C$8:$G$107,2,FALSE)*K51)</f>
        <v/>
      </c>
      <c r="F51" s="37" t="str">
        <f>IF(D51=0,"",D51*VLOOKUP(C51,'LCA Data'!$C$8:$G$107,3,FALSE)*K51)</f>
        <v/>
      </c>
      <c r="G51" s="37" t="str">
        <f>IF(D51=0,"",D51*VLOOKUP(C51,'LCA Data'!$C$8:$G$107,4,FALSE)*K51)</f>
        <v/>
      </c>
      <c r="H51" s="38" t="str">
        <f>IF(D51=0,"",D51*VLOOKUP(C51,'LCA Data'!$C$8:$G$107,5,FALSE)*K51)</f>
        <v/>
      </c>
      <c r="I51" s="3" t="str">
        <f t="shared" si="5"/>
        <v>Lists!M1</v>
      </c>
      <c r="J51" s="3">
        <f t="shared" si="6"/>
        <v>1</v>
      </c>
      <c r="K51" s="3" t="str">
        <f>IF(D51=0,"",VLOOKUP(C51,'LCA Data'!$C$8:$T$107,18,FALSE))</f>
        <v/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35" t="s">
        <v>35</v>
      </c>
      <c r="C52" s="39" t="s">
        <v>36</v>
      </c>
      <c r="D52" s="36"/>
      <c r="E52" s="37" t="str">
        <f>IF(D52=0,"",D52*VLOOKUP(C52,'LCA Data'!$C$8:$G$107,2,FALSE)*K52)</f>
        <v/>
      </c>
      <c r="F52" s="37" t="str">
        <f>IF(D52=0,"",D52*VLOOKUP(C52,'LCA Data'!$C$8:$G$107,3,FALSE)*K52)</f>
        <v/>
      </c>
      <c r="G52" s="37" t="str">
        <f>IF(D52=0,"",D52*VLOOKUP(C52,'LCA Data'!$C$8:$G$107,4,FALSE)*K52)</f>
        <v/>
      </c>
      <c r="H52" s="38" t="str">
        <f>IF(D52=0,"",D52*VLOOKUP(C52,'LCA Data'!$C$8:$G$107,5,FALSE)*K52)</f>
        <v/>
      </c>
      <c r="I52" s="3" t="str">
        <f t="shared" si="5"/>
        <v>Lists!M1</v>
      </c>
      <c r="J52" s="3">
        <f t="shared" si="6"/>
        <v>1</v>
      </c>
      <c r="K52" s="3" t="str">
        <f>IF(D52=0,"",VLOOKUP(C52,'LCA Data'!$C$8:$T$107,18,FALSE))</f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35" t="s">
        <v>35</v>
      </c>
      <c r="C53" s="39" t="s">
        <v>36</v>
      </c>
      <c r="D53" s="36"/>
      <c r="E53" s="37" t="str">
        <f>IF(D53=0,"",D53*VLOOKUP(C53,'LCA Data'!$C$8:$G$107,2,FALSE)*K53)</f>
        <v/>
      </c>
      <c r="F53" s="37" t="str">
        <f>IF(D53=0,"",D53*VLOOKUP(C53,'LCA Data'!$C$8:$G$107,3,FALSE)*K53)</f>
        <v/>
      </c>
      <c r="G53" s="37" t="str">
        <f>IF(D53=0,"",D53*VLOOKUP(C53,'LCA Data'!$C$8:$G$107,4,FALSE)*K53)</f>
        <v/>
      </c>
      <c r="H53" s="38" t="str">
        <f>IF(D53=0,"",D53*VLOOKUP(C53,'LCA Data'!$C$8:$G$107,5,FALSE)*K53)</f>
        <v/>
      </c>
      <c r="I53" s="3" t="str">
        <f t="shared" si="5"/>
        <v>Lists!M1</v>
      </c>
      <c r="J53" s="3">
        <f t="shared" si="6"/>
        <v>1</v>
      </c>
      <c r="K53" s="3" t="str">
        <f>IF(D53=0,"",VLOOKUP(C53,'LCA Data'!$C$8:$T$107,18,FALSE))</f>
        <v/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35" t="s">
        <v>35</v>
      </c>
      <c r="C54" s="39" t="s">
        <v>36</v>
      </c>
      <c r="D54" s="36"/>
      <c r="E54" s="37" t="str">
        <f>IF(D54=0,"",D54*VLOOKUP(C54,'LCA Data'!$C$8:$G$107,2,FALSE)*K54)</f>
        <v/>
      </c>
      <c r="F54" s="37" t="str">
        <f>IF(D54=0,"",D54*VLOOKUP(C54,'LCA Data'!$C$8:$G$107,3,FALSE)*K54)</f>
        <v/>
      </c>
      <c r="G54" s="37" t="str">
        <f>IF(D54=0,"",D54*VLOOKUP(C54,'LCA Data'!$C$8:$G$107,4,FALSE)*K54)</f>
        <v/>
      </c>
      <c r="H54" s="38" t="str">
        <f>IF(D54=0,"",D54*VLOOKUP(C54,'LCA Data'!$C$8:$G$107,5,FALSE)*K54)</f>
        <v/>
      </c>
      <c r="I54" s="3" t="str">
        <f t="shared" si="5"/>
        <v>Lists!M1</v>
      </c>
      <c r="J54" s="3">
        <f t="shared" si="6"/>
        <v>1</v>
      </c>
      <c r="K54" s="3" t="str">
        <f>IF(D54=0,"",VLOOKUP(C54,'LCA Data'!$C$8:$T$107,18,FALSE))</f>
        <v/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35" t="s">
        <v>35</v>
      </c>
      <c r="C55" s="39" t="s">
        <v>36</v>
      </c>
      <c r="D55" s="36"/>
      <c r="E55" s="37" t="str">
        <f>IF(D55=0,"",D55*VLOOKUP(C55,'LCA Data'!$C$8:$G$107,2,FALSE)*K55)</f>
        <v/>
      </c>
      <c r="F55" s="37" t="str">
        <f>IF(D55=0,"",D55*VLOOKUP(C55,'LCA Data'!$C$8:$G$107,3,FALSE)*K55)</f>
        <v/>
      </c>
      <c r="G55" s="37" t="str">
        <f>IF(D55=0,"",D55*VLOOKUP(C55,'LCA Data'!$C$8:$G$107,4,FALSE)*K55)</f>
        <v/>
      </c>
      <c r="H55" s="38" t="str">
        <f>IF(D55=0,"",D55*VLOOKUP(C55,'LCA Data'!$C$8:$G$107,5,FALSE)*K55)</f>
        <v/>
      </c>
      <c r="I55" s="3" t="str">
        <f t="shared" si="5"/>
        <v>Lists!M1</v>
      </c>
      <c r="J55" s="3">
        <f t="shared" si="6"/>
        <v>1</v>
      </c>
      <c r="K55" s="3" t="str">
        <f>IF(D55=0,"",VLOOKUP(C55,'LCA Data'!$C$8:$T$107,18,FALSE))</f>
        <v/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35" t="s">
        <v>35</v>
      </c>
      <c r="C56" s="39" t="s">
        <v>36</v>
      </c>
      <c r="D56" s="36"/>
      <c r="E56" s="37" t="str">
        <f>IF(D56=0,"",D56*VLOOKUP(C56,'LCA Data'!$C$8:$G$107,2,FALSE)*K56)</f>
        <v/>
      </c>
      <c r="F56" s="37" t="str">
        <f>IF(D56=0,"",D56*VLOOKUP(C56,'LCA Data'!$C$8:$G$107,3,FALSE)*K56)</f>
        <v/>
      </c>
      <c r="G56" s="37" t="str">
        <f>IF(D56=0,"",D56*VLOOKUP(C56,'LCA Data'!$C$8:$G$107,4,FALSE)*K56)</f>
        <v/>
      </c>
      <c r="H56" s="38" t="str">
        <f>IF(D56=0,"",D56*VLOOKUP(C56,'LCA Data'!$C$8:$G$107,5,FALSE)*K56)</f>
        <v/>
      </c>
      <c r="I56" s="3" t="str">
        <f t="shared" si="5"/>
        <v>Lists!M1</v>
      </c>
      <c r="J56" s="3">
        <f t="shared" si="6"/>
        <v>1</v>
      </c>
      <c r="K56" s="3" t="str">
        <f>IF(D56=0,"",VLOOKUP(C56,'LCA Data'!$C$8:$T$107,18,FALSE))</f>
        <v/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35" t="s">
        <v>35</v>
      </c>
      <c r="C57" s="39" t="s">
        <v>36</v>
      </c>
      <c r="D57" s="36"/>
      <c r="E57" s="37" t="str">
        <f>IF(D57=0,"",D57*VLOOKUP(C57,'LCA Data'!$C$8:$G$107,2,FALSE)*K57)</f>
        <v/>
      </c>
      <c r="F57" s="37" t="str">
        <f>IF(D57=0,"",D57*VLOOKUP(C57,'LCA Data'!$C$8:$G$107,3,FALSE)*K57)</f>
        <v/>
      </c>
      <c r="G57" s="37" t="str">
        <f>IF(D57=0,"",D57*VLOOKUP(C57,'LCA Data'!$C$8:$G$107,4,FALSE)*K57)</f>
        <v/>
      </c>
      <c r="H57" s="38" t="str">
        <f>IF(D57=0,"",D57*VLOOKUP(C57,'LCA Data'!$C$8:$G$107,5,FALSE)*K57)</f>
        <v/>
      </c>
      <c r="I57" s="3" t="str">
        <f t="shared" si="5"/>
        <v>Lists!M1</v>
      </c>
      <c r="J57" s="3">
        <f t="shared" si="6"/>
        <v>1</v>
      </c>
      <c r="K57" s="3" t="str">
        <f>IF(D57=0,"",VLOOKUP(C57,'LCA Data'!$C$8:$T$107,18,FALSE))</f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35" t="s">
        <v>35</v>
      </c>
      <c r="C58" s="39" t="s">
        <v>36</v>
      </c>
      <c r="D58" s="36"/>
      <c r="E58" s="37" t="str">
        <f>IF(D58=0,"",D58*VLOOKUP(C58,'LCA Data'!$C$8:$G$107,2,FALSE)*K58)</f>
        <v/>
      </c>
      <c r="F58" s="37" t="str">
        <f>IF(D58=0,"",D58*VLOOKUP(C58,'LCA Data'!$C$8:$G$107,3,FALSE)*K58)</f>
        <v/>
      </c>
      <c r="G58" s="37" t="str">
        <f>IF(D58=0,"",D58*VLOOKUP(C58,'LCA Data'!$C$8:$G$107,4,FALSE)*K58)</f>
        <v/>
      </c>
      <c r="H58" s="38" t="str">
        <f>IF(D58=0,"",D58*VLOOKUP(C58,'LCA Data'!$C$8:$G$107,5,FALSE)*K58)</f>
        <v/>
      </c>
      <c r="I58" s="3" t="str">
        <f t="shared" si="5"/>
        <v>Lists!M1</v>
      </c>
      <c r="J58" s="3">
        <f t="shared" si="6"/>
        <v>1</v>
      </c>
      <c r="K58" s="3" t="str">
        <f>IF(D58=0,"",VLOOKUP(C58,'LCA Data'!$C$8:$T$107,18,FALSE))</f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2"/>
      <c r="E59" s="2"/>
      <c r="F59" s="2"/>
      <c r="G59" s="2"/>
      <c r="H59" s="2"/>
      <c r="I59" s="3"/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2"/>
      <c r="E60" s="2"/>
      <c r="F60" s="2"/>
      <c r="G60" s="2"/>
      <c r="H60" s="2"/>
      <c r="I60" s="3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2"/>
      <c r="E61" s="2"/>
      <c r="F61" s="2"/>
      <c r="G61" s="2"/>
      <c r="H61" s="2"/>
      <c r="I61" s="3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2"/>
      <c r="E62" s="2"/>
      <c r="F62" s="2"/>
      <c r="G62" s="2"/>
      <c r="H62" s="2"/>
      <c r="I62" s="3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2"/>
      <c r="E63" s="2"/>
      <c r="F63" s="2"/>
      <c r="G63" s="2"/>
      <c r="H63" s="2"/>
      <c r="I63" s="3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2"/>
      <c r="E64" s="2"/>
      <c r="F64" s="2"/>
      <c r="G64" s="2"/>
      <c r="H64" s="2"/>
      <c r="I64" s="3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2"/>
      <c r="E65" s="2"/>
      <c r="F65" s="2"/>
      <c r="G65" s="2"/>
      <c r="H65" s="2"/>
      <c r="I65" s="3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2"/>
      <c r="E66" s="2"/>
      <c r="F66" s="2"/>
      <c r="G66" s="2"/>
      <c r="H66" s="2"/>
      <c r="I66" s="3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2"/>
      <c r="E67" s="2"/>
      <c r="F67" s="2"/>
      <c r="G67" s="2"/>
      <c r="H67" s="2"/>
      <c r="I67" s="3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2"/>
      <c r="E68" s="2"/>
      <c r="F68" s="2"/>
      <c r="G68" s="2"/>
      <c r="H68" s="2"/>
      <c r="I68" s="3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2"/>
      <c r="E69" s="2"/>
      <c r="F69" s="2"/>
      <c r="G69" s="2"/>
      <c r="H69" s="2"/>
      <c r="I69" s="3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2"/>
      <c r="E70" s="2"/>
      <c r="F70" s="2"/>
      <c r="G70" s="2"/>
      <c r="H70" s="2"/>
      <c r="I70" s="3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2"/>
      <c r="E71" s="2"/>
      <c r="F71" s="2"/>
      <c r="G71" s="2"/>
      <c r="H71" s="2"/>
      <c r="I71" s="3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2"/>
      <c r="E72" s="2"/>
      <c r="F72" s="2"/>
      <c r="G72" s="2"/>
      <c r="H72" s="2"/>
      <c r="I72" s="3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2"/>
      <c r="E73" s="2"/>
      <c r="F73" s="2"/>
      <c r="G73" s="2"/>
      <c r="H73" s="2"/>
      <c r="I73" s="3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2"/>
      <c r="E74" s="2"/>
      <c r="F74" s="2"/>
      <c r="G74" s="2"/>
      <c r="H74" s="2"/>
      <c r="I74" s="3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2"/>
      <c r="E75" s="2"/>
      <c r="F75" s="2"/>
      <c r="G75" s="2"/>
      <c r="H75" s="2"/>
      <c r="I75" s="3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2"/>
      <c r="E76" s="2"/>
      <c r="F76" s="2"/>
      <c r="G76" s="2"/>
      <c r="H76" s="2"/>
      <c r="I76" s="3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2"/>
      <c r="E77" s="2"/>
      <c r="F77" s="2"/>
      <c r="G77" s="2"/>
      <c r="H77" s="2"/>
      <c r="I77" s="3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2"/>
      <c r="E78" s="2"/>
      <c r="F78" s="2"/>
      <c r="G78" s="2"/>
      <c r="H78" s="2"/>
      <c r="I78" s="3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2"/>
      <c r="E79" s="2"/>
      <c r="F79" s="2"/>
      <c r="G79" s="2"/>
      <c r="H79" s="2"/>
      <c r="I79" s="3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2"/>
      <c r="E80" s="2"/>
      <c r="F80" s="2"/>
      <c r="G80" s="2"/>
      <c r="H80" s="2"/>
      <c r="I80" s="3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2"/>
      <c r="E81" s="2"/>
      <c r="F81" s="2"/>
      <c r="G81" s="2"/>
      <c r="H81" s="2"/>
      <c r="I81" s="3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2"/>
      <c r="E82" s="2"/>
      <c r="F82" s="2"/>
      <c r="G82" s="2"/>
      <c r="H82" s="2"/>
      <c r="I82" s="3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2"/>
      <c r="E83" s="2"/>
      <c r="F83" s="2"/>
      <c r="G83" s="2"/>
      <c r="H83" s="2"/>
      <c r="I83" s="3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2"/>
      <c r="E84" s="2"/>
      <c r="F84" s="2"/>
      <c r="G84" s="2"/>
      <c r="H84" s="2"/>
      <c r="I84" s="3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2"/>
      <c r="E85" s="2"/>
      <c r="F85" s="2"/>
      <c r="G85" s="2"/>
      <c r="H85" s="2"/>
      <c r="I85" s="3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2"/>
      <c r="E86" s="2"/>
      <c r="F86" s="2"/>
      <c r="G86" s="2"/>
      <c r="H86" s="2"/>
      <c r="I86" s="3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2"/>
      <c r="E87" s="2"/>
      <c r="F87" s="2"/>
      <c r="G87" s="2"/>
      <c r="H87" s="2"/>
      <c r="I87" s="3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2"/>
      <c r="E88" s="2"/>
      <c r="F88" s="2"/>
      <c r="G88" s="2"/>
      <c r="H88" s="2"/>
      <c r="I88" s="3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2"/>
      <c r="E89" s="2"/>
      <c r="F89" s="2"/>
      <c r="G89" s="2"/>
      <c r="H89" s="2"/>
      <c r="I89" s="3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2"/>
      <c r="E90" s="2"/>
      <c r="F90" s="2"/>
      <c r="G90" s="2"/>
      <c r="H90" s="2"/>
      <c r="I90" s="3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2"/>
      <c r="E91" s="2"/>
      <c r="F91" s="2"/>
      <c r="G91" s="2"/>
      <c r="H91" s="2"/>
      <c r="I91" s="3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2"/>
      <c r="E92" s="2"/>
      <c r="F92" s="2"/>
      <c r="G92" s="2"/>
      <c r="H92" s="2"/>
      <c r="I92" s="3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2"/>
      <c r="E93" s="2"/>
      <c r="F93" s="2"/>
      <c r="G93" s="2"/>
      <c r="H93" s="2"/>
      <c r="I93" s="3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2"/>
      <c r="E94" s="2"/>
      <c r="F94" s="2"/>
      <c r="G94" s="2"/>
      <c r="H94" s="2"/>
      <c r="I94" s="3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2"/>
      <c r="E95" s="2"/>
      <c r="F95" s="2"/>
      <c r="G95" s="2"/>
      <c r="H95" s="2"/>
      <c r="I95" s="3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2"/>
      <c r="E96" s="2"/>
      <c r="F96" s="2"/>
      <c r="G96" s="2"/>
      <c r="H96" s="2"/>
      <c r="I96" s="3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2"/>
      <c r="E97" s="2"/>
      <c r="F97" s="2"/>
      <c r="G97" s="2"/>
      <c r="H97" s="2"/>
      <c r="I97" s="3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2"/>
      <c r="E98" s="2"/>
      <c r="F98" s="2"/>
      <c r="G98" s="2"/>
      <c r="H98" s="2"/>
      <c r="I98" s="3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2"/>
      <c r="E99" s="2"/>
      <c r="F99" s="2"/>
      <c r="G99" s="2"/>
      <c r="H99" s="2"/>
      <c r="I99" s="3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2"/>
      <c r="E100" s="2"/>
      <c r="F100" s="2"/>
      <c r="G100" s="2"/>
      <c r="H100" s="2"/>
      <c r="I100" s="3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2"/>
      <c r="E101" s="2"/>
      <c r="F101" s="2"/>
      <c r="G101" s="2"/>
      <c r="H101" s="2"/>
      <c r="I101" s="3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2"/>
      <c r="E102" s="2"/>
      <c r="F102" s="2"/>
      <c r="G102" s="2"/>
      <c r="H102" s="2"/>
      <c r="I102" s="3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2"/>
      <c r="E103" s="2"/>
      <c r="F103" s="2"/>
      <c r="G103" s="2"/>
      <c r="H103" s="2"/>
      <c r="I103" s="3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2"/>
      <c r="E104" s="2"/>
      <c r="F104" s="2"/>
      <c r="G104" s="2"/>
      <c r="H104" s="2"/>
      <c r="I104" s="3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2"/>
      <c r="E105" s="2"/>
      <c r="F105" s="2"/>
      <c r="G105" s="2"/>
      <c r="H105" s="2"/>
      <c r="I105" s="3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2"/>
      <c r="E106" s="2"/>
      <c r="F106" s="2"/>
      <c r="G106" s="2"/>
      <c r="H106" s="2"/>
      <c r="I106" s="3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2"/>
      <c r="E107" s="2"/>
      <c r="F107" s="2"/>
      <c r="G107" s="2"/>
      <c r="H107" s="2"/>
      <c r="I107" s="3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2"/>
      <c r="E108" s="2"/>
      <c r="F108" s="2"/>
      <c r="G108" s="2"/>
      <c r="H108" s="2"/>
      <c r="I108" s="3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2"/>
      <c r="E109" s="2"/>
      <c r="F109" s="2"/>
      <c r="G109" s="2"/>
      <c r="H109" s="2"/>
      <c r="I109" s="3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2"/>
      <c r="E110" s="2"/>
      <c r="F110" s="2"/>
      <c r="G110" s="2"/>
      <c r="H110" s="2"/>
      <c r="I110" s="3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2"/>
      <c r="E111" s="2"/>
      <c r="F111" s="2"/>
      <c r="G111" s="2"/>
      <c r="H111" s="2"/>
      <c r="I111" s="3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2"/>
      <c r="E112" s="2"/>
      <c r="F112" s="2"/>
      <c r="G112" s="2"/>
      <c r="H112" s="2"/>
      <c r="I112" s="3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2"/>
      <c r="E113" s="2"/>
      <c r="F113" s="2"/>
      <c r="G113" s="2"/>
      <c r="H113" s="2"/>
      <c r="I113" s="3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2"/>
      <c r="E114" s="2"/>
      <c r="F114" s="2"/>
      <c r="G114" s="2"/>
      <c r="H114" s="2"/>
      <c r="I114" s="3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2"/>
      <c r="E115" s="2"/>
      <c r="F115" s="2"/>
      <c r="G115" s="2"/>
      <c r="H115" s="2"/>
      <c r="I115" s="3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2"/>
      <c r="E116" s="2"/>
      <c r="F116" s="2"/>
      <c r="G116" s="2"/>
      <c r="H116" s="2"/>
      <c r="I116" s="3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2"/>
      <c r="E117" s="2"/>
      <c r="F117" s="2"/>
      <c r="G117" s="2"/>
      <c r="H117" s="2"/>
      <c r="I117" s="3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2"/>
      <c r="E118" s="2"/>
      <c r="F118" s="2"/>
      <c r="G118" s="2"/>
      <c r="H118" s="2"/>
      <c r="I118" s="3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2"/>
      <c r="E119" s="2"/>
      <c r="F119" s="2"/>
      <c r="G119" s="2"/>
      <c r="H119" s="2"/>
      <c r="I119" s="3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2"/>
      <c r="E120" s="2"/>
      <c r="F120" s="2"/>
      <c r="G120" s="2"/>
      <c r="H120" s="2"/>
      <c r="I120" s="3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2"/>
      <c r="E121" s="2"/>
      <c r="F121" s="2"/>
      <c r="G121" s="2"/>
      <c r="H121" s="2"/>
      <c r="I121" s="3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2"/>
      <c r="E122" s="2"/>
      <c r="F122" s="2"/>
      <c r="G122" s="2"/>
      <c r="H122" s="2"/>
      <c r="I122" s="3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2"/>
      <c r="E123" s="2"/>
      <c r="F123" s="2"/>
      <c r="G123" s="2"/>
      <c r="H123" s="2"/>
      <c r="I123" s="3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2"/>
      <c r="E124" s="2"/>
      <c r="F124" s="2"/>
      <c r="G124" s="2"/>
      <c r="H124" s="2"/>
      <c r="I124" s="3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2"/>
      <c r="E125" s="2"/>
      <c r="F125" s="2"/>
      <c r="G125" s="2"/>
      <c r="H125" s="2"/>
      <c r="I125" s="3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2"/>
      <c r="E126" s="2"/>
      <c r="F126" s="2"/>
      <c r="G126" s="2"/>
      <c r="H126" s="2"/>
      <c r="I126" s="3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2"/>
      <c r="E127" s="2"/>
      <c r="F127" s="2"/>
      <c r="G127" s="2"/>
      <c r="H127" s="2"/>
      <c r="I127" s="3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2"/>
      <c r="E128" s="2"/>
      <c r="F128" s="2"/>
      <c r="G128" s="2"/>
      <c r="H128" s="2"/>
      <c r="I128" s="3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2"/>
      <c r="E129" s="2"/>
      <c r="F129" s="2"/>
      <c r="G129" s="2"/>
      <c r="H129" s="2"/>
      <c r="I129" s="3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2"/>
      <c r="E130" s="2"/>
      <c r="F130" s="2"/>
      <c r="G130" s="2"/>
      <c r="H130" s="2"/>
      <c r="I130" s="3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2"/>
      <c r="E131" s="2"/>
      <c r="F131" s="2"/>
      <c r="G131" s="2"/>
      <c r="H131" s="2"/>
      <c r="I131" s="3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2"/>
      <c r="E132" s="2"/>
      <c r="F132" s="2"/>
      <c r="G132" s="2"/>
      <c r="H132" s="2"/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2"/>
      <c r="E133" s="2"/>
      <c r="F133" s="2"/>
      <c r="G133" s="2"/>
      <c r="H133" s="2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2"/>
      <c r="E134" s="2"/>
      <c r="F134" s="2"/>
      <c r="G134" s="2"/>
      <c r="H134" s="2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2"/>
      <c r="E135" s="2"/>
      <c r="F135" s="2"/>
      <c r="G135" s="2"/>
      <c r="H135" s="2"/>
      <c r="I135" s="3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2"/>
      <c r="E136" s="2"/>
      <c r="F136" s="2"/>
      <c r="G136" s="2"/>
      <c r="H136" s="2"/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2"/>
      <c r="E137" s="2"/>
      <c r="F137" s="2"/>
      <c r="G137" s="2"/>
      <c r="H137" s="2"/>
      <c r="I137" s="3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2"/>
      <c r="E138" s="2"/>
      <c r="F138" s="2"/>
      <c r="G138" s="2"/>
      <c r="H138" s="2"/>
      <c r="I138" s="3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2"/>
      <c r="E139" s="2"/>
      <c r="F139" s="2"/>
      <c r="G139" s="2"/>
      <c r="H139" s="2"/>
      <c r="I139" s="3"/>
      <c r="J139" s="3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2"/>
      <c r="E140" s="2"/>
      <c r="F140" s="2"/>
      <c r="G140" s="2"/>
      <c r="H140" s="2"/>
      <c r="I140" s="3"/>
      <c r="J140" s="3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2"/>
      <c r="E141" s="2"/>
      <c r="F141" s="2"/>
      <c r="G141" s="2"/>
      <c r="H141" s="2"/>
      <c r="I141" s="3"/>
      <c r="J141" s="3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2"/>
      <c r="E142" s="2"/>
      <c r="F142" s="2"/>
      <c r="G142" s="2"/>
      <c r="H142" s="2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2"/>
      <c r="E143" s="2"/>
      <c r="F143" s="2"/>
      <c r="G143" s="2"/>
      <c r="H143" s="2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2"/>
      <c r="E144" s="2"/>
      <c r="F144" s="2"/>
      <c r="G144" s="2"/>
      <c r="H144" s="2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2"/>
      <c r="E145" s="2"/>
      <c r="F145" s="2"/>
      <c r="G145" s="2"/>
      <c r="H145" s="2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2"/>
      <c r="E146" s="2"/>
      <c r="F146" s="2"/>
      <c r="G146" s="2"/>
      <c r="H146" s="2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2"/>
      <c r="E147" s="2"/>
      <c r="F147" s="2"/>
      <c r="G147" s="2"/>
      <c r="H147" s="2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2"/>
      <c r="E148" s="2"/>
      <c r="F148" s="2"/>
      <c r="G148" s="2"/>
      <c r="H148" s="2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2"/>
      <c r="E149" s="2"/>
      <c r="F149" s="2"/>
      <c r="G149" s="2"/>
      <c r="H149" s="2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2"/>
      <c r="E150" s="2"/>
      <c r="F150" s="2"/>
      <c r="G150" s="2"/>
      <c r="H150" s="2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2"/>
      <c r="E151" s="2"/>
      <c r="F151" s="2"/>
      <c r="G151" s="2"/>
      <c r="H151" s="2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2"/>
      <c r="E152" s="2"/>
      <c r="F152" s="2"/>
      <c r="G152" s="2"/>
      <c r="H152" s="2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2"/>
      <c r="E153" s="2"/>
      <c r="F153" s="2"/>
      <c r="G153" s="2"/>
      <c r="H153" s="2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2"/>
      <c r="E154" s="2"/>
      <c r="F154" s="2"/>
      <c r="G154" s="2"/>
      <c r="H154" s="2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2"/>
      <c r="E155" s="2"/>
      <c r="F155" s="2"/>
      <c r="G155" s="2"/>
      <c r="H155" s="2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2"/>
      <c r="E156" s="2"/>
      <c r="F156" s="2"/>
      <c r="G156" s="2"/>
      <c r="H156" s="2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2"/>
      <c r="E157" s="2"/>
      <c r="F157" s="2"/>
      <c r="G157" s="2"/>
      <c r="H157" s="2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2"/>
      <c r="E158" s="2"/>
      <c r="F158" s="2"/>
      <c r="G158" s="2"/>
      <c r="H158" s="2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2"/>
      <c r="E159" s="2"/>
      <c r="F159" s="2"/>
      <c r="G159" s="2"/>
      <c r="H159" s="2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2"/>
      <c r="E160" s="2"/>
      <c r="F160" s="2"/>
      <c r="G160" s="2"/>
      <c r="H160" s="2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2"/>
      <c r="E161" s="2"/>
      <c r="F161" s="2"/>
      <c r="G161" s="2"/>
      <c r="H161" s="2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2"/>
      <c r="E162" s="2"/>
      <c r="F162" s="2"/>
      <c r="G162" s="2"/>
      <c r="H162" s="2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2"/>
      <c r="E163" s="2"/>
      <c r="F163" s="2"/>
      <c r="G163" s="2"/>
      <c r="H163" s="2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2"/>
      <c r="E164" s="2"/>
      <c r="F164" s="2"/>
      <c r="G164" s="2"/>
      <c r="H164" s="2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2"/>
      <c r="E165" s="2"/>
      <c r="F165" s="2"/>
      <c r="G165" s="2"/>
      <c r="H165" s="2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2"/>
      <c r="E166" s="2"/>
      <c r="F166" s="2"/>
      <c r="G166" s="2"/>
      <c r="H166" s="2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2"/>
      <c r="E167" s="2"/>
      <c r="F167" s="2"/>
      <c r="G167" s="2"/>
      <c r="H167" s="2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2"/>
      <c r="E168" s="2"/>
      <c r="F168" s="2"/>
      <c r="G168" s="2"/>
      <c r="H168" s="2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2"/>
      <c r="E169" s="2"/>
      <c r="F169" s="2"/>
      <c r="G169" s="2"/>
      <c r="H169" s="2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2"/>
      <c r="E170" s="2"/>
      <c r="F170" s="2"/>
      <c r="G170" s="2"/>
      <c r="H170" s="2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2"/>
      <c r="E171" s="2"/>
      <c r="F171" s="2"/>
      <c r="G171" s="2"/>
      <c r="H171" s="2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2"/>
      <c r="E172" s="2"/>
      <c r="F172" s="2"/>
      <c r="G172" s="2"/>
      <c r="H172" s="2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2"/>
      <c r="E173" s="2"/>
      <c r="F173" s="2"/>
      <c r="G173" s="2"/>
      <c r="H173" s="2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2"/>
      <c r="E174" s="2"/>
      <c r="F174" s="2"/>
      <c r="G174" s="2"/>
      <c r="H174" s="2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2"/>
      <c r="E175" s="2"/>
      <c r="F175" s="2"/>
      <c r="G175" s="2"/>
      <c r="H175" s="2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2"/>
      <c r="E176" s="2"/>
      <c r="F176" s="2"/>
      <c r="G176" s="2"/>
      <c r="H176" s="2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2"/>
      <c r="E177" s="2"/>
      <c r="F177" s="2"/>
      <c r="G177" s="2"/>
      <c r="H177" s="2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2"/>
      <c r="E178" s="2"/>
      <c r="F178" s="2"/>
      <c r="G178" s="2"/>
      <c r="H178" s="2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2"/>
      <c r="E179" s="2"/>
      <c r="F179" s="2"/>
      <c r="G179" s="2"/>
      <c r="H179" s="2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2"/>
      <c r="E180" s="2"/>
      <c r="F180" s="2"/>
      <c r="G180" s="2"/>
      <c r="H180" s="2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2"/>
      <c r="E181" s="2"/>
      <c r="F181" s="2"/>
      <c r="G181" s="2"/>
      <c r="H181" s="2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2"/>
      <c r="E182" s="2"/>
      <c r="F182" s="2"/>
      <c r="G182" s="2"/>
      <c r="H182" s="2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2"/>
      <c r="E183" s="2"/>
      <c r="F183" s="2"/>
      <c r="G183" s="2"/>
      <c r="H183" s="2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2"/>
      <c r="E184" s="2"/>
      <c r="F184" s="2"/>
      <c r="G184" s="2"/>
      <c r="H184" s="2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2"/>
      <c r="E185" s="2"/>
      <c r="F185" s="2"/>
      <c r="G185" s="2"/>
      <c r="H185" s="2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2"/>
      <c r="E186" s="2"/>
      <c r="F186" s="2"/>
      <c r="G186" s="2"/>
      <c r="H186" s="2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2"/>
      <c r="E187" s="2"/>
      <c r="F187" s="2"/>
      <c r="G187" s="2"/>
      <c r="H187" s="2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2"/>
      <c r="E188" s="2"/>
      <c r="F188" s="2"/>
      <c r="G188" s="2"/>
      <c r="H188" s="2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2"/>
      <c r="E189" s="2"/>
      <c r="F189" s="2"/>
      <c r="G189" s="2"/>
      <c r="H189" s="2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2"/>
      <c r="E190" s="2"/>
      <c r="F190" s="2"/>
      <c r="G190" s="2"/>
      <c r="H190" s="2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2"/>
      <c r="E191" s="2"/>
      <c r="F191" s="2"/>
      <c r="G191" s="2"/>
      <c r="H191" s="2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2"/>
      <c r="E192" s="2"/>
      <c r="F192" s="2"/>
      <c r="G192" s="2"/>
      <c r="H192" s="2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2"/>
      <c r="E193" s="2"/>
      <c r="F193" s="2"/>
      <c r="G193" s="2"/>
      <c r="H193" s="2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2"/>
      <c r="E194" s="2"/>
      <c r="F194" s="2"/>
      <c r="G194" s="2"/>
      <c r="H194" s="2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2"/>
      <c r="E195" s="2"/>
      <c r="F195" s="2"/>
      <c r="G195" s="2"/>
      <c r="H195" s="2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2"/>
      <c r="E196" s="2"/>
      <c r="F196" s="2"/>
      <c r="G196" s="2"/>
      <c r="H196" s="2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2"/>
      <c r="E197" s="2"/>
      <c r="F197" s="2"/>
      <c r="G197" s="2"/>
      <c r="H197" s="2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2"/>
      <c r="E198" s="2"/>
      <c r="F198" s="2"/>
      <c r="G198" s="2"/>
      <c r="H198" s="2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2"/>
      <c r="E199" s="2"/>
      <c r="F199" s="2"/>
      <c r="G199" s="2"/>
      <c r="H199" s="2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2"/>
      <c r="E200" s="2"/>
      <c r="F200" s="2"/>
      <c r="G200" s="2"/>
      <c r="H200" s="2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2"/>
      <c r="E201" s="2"/>
      <c r="F201" s="2"/>
      <c r="G201" s="2"/>
      <c r="H201" s="2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2"/>
      <c r="E202" s="2"/>
      <c r="F202" s="2"/>
      <c r="G202" s="2"/>
      <c r="H202" s="2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2"/>
      <c r="E203" s="2"/>
      <c r="F203" s="2"/>
      <c r="G203" s="2"/>
      <c r="H203" s="2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2"/>
      <c r="E204" s="2"/>
      <c r="F204" s="2"/>
      <c r="G204" s="2"/>
      <c r="H204" s="2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2"/>
      <c r="E205" s="2"/>
      <c r="F205" s="2"/>
      <c r="G205" s="2"/>
      <c r="H205" s="2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2"/>
      <c r="E206" s="2"/>
      <c r="F206" s="2"/>
      <c r="G206" s="2"/>
      <c r="H206" s="2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2"/>
      <c r="E207" s="2"/>
      <c r="F207" s="2"/>
      <c r="G207" s="2"/>
      <c r="H207" s="2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2"/>
      <c r="E208" s="2"/>
      <c r="F208" s="2"/>
      <c r="G208" s="2"/>
      <c r="H208" s="2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2"/>
      <c r="E209" s="2"/>
      <c r="F209" s="2"/>
      <c r="G209" s="2"/>
      <c r="H209" s="2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2"/>
      <c r="E210" s="2"/>
      <c r="F210" s="2"/>
      <c r="G210" s="2"/>
      <c r="H210" s="2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2"/>
      <c r="E211" s="2"/>
      <c r="F211" s="2"/>
      <c r="G211" s="2"/>
      <c r="H211" s="2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2"/>
      <c r="E212" s="2"/>
      <c r="F212" s="2"/>
      <c r="G212" s="2"/>
      <c r="H212" s="2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2"/>
      <c r="E213" s="2"/>
      <c r="F213" s="2"/>
      <c r="G213" s="2"/>
      <c r="H213" s="2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2"/>
      <c r="E214" s="2"/>
      <c r="F214" s="2"/>
      <c r="G214" s="2"/>
      <c r="H214" s="2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2"/>
      <c r="E215" s="2"/>
      <c r="F215" s="2"/>
      <c r="G215" s="2"/>
      <c r="H215" s="2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2"/>
      <c r="E216" s="2"/>
      <c r="F216" s="2"/>
      <c r="G216" s="2"/>
      <c r="H216" s="2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2"/>
      <c r="E217" s="2"/>
      <c r="F217" s="2"/>
      <c r="G217" s="2"/>
      <c r="H217" s="2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2"/>
      <c r="E218" s="2"/>
      <c r="F218" s="2"/>
      <c r="G218" s="2"/>
      <c r="H218" s="2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2"/>
      <c r="E219" s="2"/>
      <c r="F219" s="2"/>
      <c r="G219" s="2"/>
      <c r="H219" s="2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2"/>
      <c r="E220" s="2"/>
      <c r="F220" s="2"/>
      <c r="G220" s="2"/>
      <c r="H220" s="2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2"/>
      <c r="E221" s="2"/>
      <c r="F221" s="2"/>
      <c r="G221" s="2"/>
      <c r="H221" s="2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2"/>
      <c r="E222" s="2"/>
      <c r="F222" s="2"/>
      <c r="G222" s="2"/>
      <c r="H222" s="2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2"/>
      <c r="E223" s="2"/>
      <c r="F223" s="2"/>
      <c r="G223" s="2"/>
      <c r="H223" s="2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2"/>
      <c r="E224" s="2"/>
      <c r="F224" s="2"/>
      <c r="G224" s="2"/>
      <c r="H224" s="2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2"/>
      <c r="E225" s="2"/>
      <c r="F225" s="2"/>
      <c r="G225" s="2"/>
      <c r="H225" s="2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2"/>
      <c r="E226" s="2"/>
      <c r="F226" s="2"/>
      <c r="G226" s="2"/>
      <c r="H226" s="2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2"/>
      <c r="E227" s="2"/>
      <c r="F227" s="2"/>
      <c r="G227" s="2"/>
      <c r="H227" s="2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2"/>
      <c r="E228" s="2"/>
      <c r="F228" s="2"/>
      <c r="G228" s="2"/>
      <c r="H228" s="2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2"/>
      <c r="E229" s="2"/>
      <c r="F229" s="2"/>
      <c r="G229" s="2"/>
      <c r="H229" s="2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2"/>
      <c r="E230" s="2"/>
      <c r="F230" s="2"/>
      <c r="G230" s="2"/>
      <c r="H230" s="2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2"/>
      <c r="E231" s="2"/>
      <c r="F231" s="2"/>
      <c r="G231" s="2"/>
      <c r="H231" s="2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2"/>
      <c r="E232" s="2"/>
      <c r="F232" s="2"/>
      <c r="G232" s="2"/>
      <c r="H232" s="2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2"/>
      <c r="E233" s="2"/>
      <c r="F233" s="2"/>
      <c r="G233" s="2"/>
      <c r="H233" s="2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2"/>
      <c r="E234" s="2"/>
      <c r="F234" s="2"/>
      <c r="G234" s="2"/>
      <c r="H234" s="2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2"/>
      <c r="E235" s="2"/>
      <c r="F235" s="2"/>
      <c r="G235" s="2"/>
      <c r="H235" s="2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2"/>
      <c r="E236" s="2"/>
      <c r="F236" s="2"/>
      <c r="G236" s="2"/>
      <c r="H236" s="2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2"/>
      <c r="E237" s="2"/>
      <c r="F237" s="2"/>
      <c r="G237" s="2"/>
      <c r="H237" s="2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2"/>
      <c r="E238" s="2"/>
      <c r="F238" s="2"/>
      <c r="G238" s="2"/>
      <c r="H238" s="2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2"/>
      <c r="E239" s="2"/>
      <c r="F239" s="2"/>
      <c r="G239" s="2"/>
      <c r="H239" s="2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2"/>
      <c r="E240" s="2"/>
      <c r="F240" s="2"/>
      <c r="G240" s="2"/>
      <c r="H240" s="2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2"/>
      <c r="E241" s="2"/>
      <c r="F241" s="2"/>
      <c r="G241" s="2"/>
      <c r="H241" s="2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2"/>
      <c r="E242" s="2"/>
      <c r="F242" s="2"/>
      <c r="G242" s="2"/>
      <c r="H242" s="2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2"/>
      <c r="E243" s="2"/>
      <c r="F243" s="2"/>
      <c r="G243" s="2"/>
      <c r="H243" s="2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2"/>
      <c r="E244" s="2"/>
      <c r="F244" s="2"/>
      <c r="G244" s="2"/>
      <c r="H244" s="2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5"/>
      <c r="B245" s="42"/>
      <c r="C245" s="42"/>
      <c r="D245" s="43"/>
      <c r="E245" s="43"/>
      <c r="F245" s="43"/>
      <c r="G245" s="43"/>
      <c r="H245" s="43"/>
      <c r="I245" s="44"/>
      <c r="J245" s="44"/>
      <c r="K245" s="44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0" customHeight="1">
      <c r="A246" s="5"/>
      <c r="B246" s="42"/>
      <c r="C246" s="42"/>
      <c r="D246" s="43"/>
      <c r="E246" s="43"/>
      <c r="F246" s="43"/>
      <c r="G246" s="43"/>
      <c r="H246" s="43"/>
      <c r="I246" s="44"/>
      <c r="J246" s="44"/>
      <c r="K246" s="44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0" customHeight="1">
      <c r="A247" s="5"/>
      <c r="B247" s="42"/>
      <c r="C247" s="42"/>
      <c r="D247" s="43"/>
      <c r="E247" s="43"/>
      <c r="F247" s="43"/>
      <c r="G247" s="43"/>
      <c r="H247" s="43"/>
      <c r="I247" s="44"/>
      <c r="J247" s="44"/>
      <c r="K247" s="44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0" customHeight="1">
      <c r="A248" s="5"/>
      <c r="B248" s="42"/>
      <c r="C248" s="42"/>
      <c r="D248" s="43"/>
      <c r="E248" s="43"/>
      <c r="F248" s="43"/>
      <c r="G248" s="43"/>
      <c r="H248" s="43"/>
      <c r="I248" s="44"/>
      <c r="J248" s="44"/>
      <c r="K248" s="44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0" customHeight="1">
      <c r="A249" s="5"/>
      <c r="B249" s="42"/>
      <c r="C249" s="42"/>
      <c r="D249" s="43"/>
      <c r="E249" s="43"/>
      <c r="F249" s="43"/>
      <c r="G249" s="43"/>
      <c r="H249" s="43"/>
      <c r="I249" s="44"/>
      <c r="J249" s="44"/>
      <c r="K249" s="44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0" customHeight="1">
      <c r="A250" s="5"/>
      <c r="B250" s="42"/>
      <c r="C250" s="42"/>
      <c r="D250" s="43"/>
      <c r="E250" s="43"/>
      <c r="F250" s="43"/>
      <c r="G250" s="43"/>
      <c r="H250" s="43"/>
      <c r="I250" s="44"/>
      <c r="J250" s="44"/>
      <c r="K250" s="44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0" customHeight="1">
      <c r="A251" s="5"/>
      <c r="B251" s="42"/>
      <c r="C251" s="42"/>
      <c r="D251" s="43"/>
      <c r="E251" s="43"/>
      <c r="F251" s="43"/>
      <c r="G251" s="43"/>
      <c r="H251" s="43"/>
      <c r="I251" s="44"/>
      <c r="J251" s="44"/>
      <c r="K251" s="44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0" customHeight="1">
      <c r="A252" s="5"/>
      <c r="B252" s="42"/>
      <c r="C252" s="42"/>
      <c r="D252" s="43"/>
      <c r="E252" s="43"/>
      <c r="F252" s="43"/>
      <c r="G252" s="43"/>
      <c r="H252" s="43"/>
      <c r="I252" s="44"/>
      <c r="J252" s="44"/>
      <c r="K252" s="4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0" customHeight="1">
      <c r="A253" s="5"/>
      <c r="B253" s="42"/>
      <c r="C253" s="42"/>
      <c r="D253" s="43"/>
      <c r="E253" s="43"/>
      <c r="F253" s="43"/>
      <c r="G253" s="43"/>
      <c r="H253" s="43"/>
      <c r="I253" s="44"/>
      <c r="J253" s="44"/>
      <c r="K253" s="44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0" customHeight="1">
      <c r="A254" s="5"/>
      <c r="B254" s="42"/>
      <c r="C254" s="42"/>
      <c r="D254" s="43"/>
      <c r="E254" s="43"/>
      <c r="F254" s="43"/>
      <c r="G254" s="43"/>
      <c r="H254" s="43"/>
      <c r="I254" s="44"/>
      <c r="J254" s="44"/>
      <c r="K254" s="44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0" customHeight="1">
      <c r="A255" s="5"/>
      <c r="B255" s="42"/>
      <c r="C255" s="42"/>
      <c r="D255" s="43"/>
      <c r="E255" s="43"/>
      <c r="F255" s="43"/>
      <c r="G255" s="43"/>
      <c r="H255" s="43"/>
      <c r="I255" s="44"/>
      <c r="J255" s="44"/>
      <c r="K255" s="44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0" customHeight="1">
      <c r="A256" s="5"/>
      <c r="B256" s="42"/>
      <c r="C256" s="42"/>
      <c r="D256" s="43"/>
      <c r="E256" s="43"/>
      <c r="F256" s="43"/>
      <c r="G256" s="43"/>
      <c r="H256" s="43"/>
      <c r="I256" s="44"/>
      <c r="J256" s="44"/>
      <c r="K256" s="44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0" customHeight="1">
      <c r="A257" s="5"/>
      <c r="B257" s="42"/>
      <c r="C257" s="42"/>
      <c r="D257" s="43"/>
      <c r="E257" s="43"/>
      <c r="F257" s="43"/>
      <c r="G257" s="43"/>
      <c r="H257" s="43"/>
      <c r="I257" s="44"/>
      <c r="J257" s="44"/>
      <c r="K257" s="44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0" customHeight="1">
      <c r="A258" s="5"/>
      <c r="B258" s="42"/>
      <c r="C258" s="42"/>
      <c r="D258" s="43"/>
      <c r="E258" s="43"/>
      <c r="F258" s="43"/>
      <c r="G258" s="43"/>
      <c r="H258" s="43"/>
      <c r="I258" s="44"/>
      <c r="J258" s="44"/>
      <c r="K258" s="44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7:H7"/>
  </mergeCells>
  <dataValidations>
    <dataValidation type="list" allowBlank="1" showErrorMessage="1" sqref="C5">
      <formula1>Lists!N1:N5</formula1>
    </dataValidation>
    <dataValidation type="list" allowBlank="1" showErrorMessage="1" sqref="C18:C58">
      <formula1>INDIRECT(I18)</formula1>
    </dataValidation>
    <dataValidation type="list" allowBlank="1" showErrorMessage="1" sqref="B18:B58">
      <formula1>Lists!$A$1:$A$12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18.0"/>
    <col customWidth="1" min="4" max="4" width="12.71"/>
    <col customWidth="1" min="5" max="5" width="15.43"/>
    <col customWidth="1" min="6" max="6" width="17.86"/>
    <col customWidth="1" min="7" max="7" width="14.57"/>
    <col customWidth="1" min="8" max="8" width="14.86"/>
    <col customWidth="1" min="9" max="9" width="20.14"/>
    <col customWidth="1" min="10" max="10" width="9.29"/>
    <col customWidth="1" min="11" max="29" width="10.8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0" customHeight="1">
      <c r="A2" s="1"/>
      <c r="B2" s="45" t="s">
        <v>37</v>
      </c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2.0" customHeight="1">
      <c r="A3" s="1"/>
      <c r="B3" s="9" t="s">
        <v>1</v>
      </c>
      <c r="C3" s="5"/>
      <c r="D3" s="5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2.0" customHeight="1">
      <c r="A4" s="1"/>
      <c r="B4" s="1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2.0" customHeight="1">
      <c r="A5" s="1"/>
      <c r="B5" s="4" t="s">
        <v>2</v>
      </c>
      <c r="C5" s="12" t="s">
        <v>3</v>
      </c>
      <c r="D5" s="1"/>
      <c r="E5" s="1"/>
      <c r="F5" s="4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2.0" customHeight="1">
      <c r="A7" s="1"/>
      <c r="B7" s="1"/>
      <c r="C7" s="1"/>
      <c r="D7" s="1"/>
      <c r="E7" s="13" t="s">
        <v>4</v>
      </c>
      <c r="F7" s="14"/>
      <c r="G7" s="14"/>
      <c r="H7" s="14"/>
      <c r="I7" s="1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2.0" customHeight="1">
      <c r="A8" s="1"/>
      <c r="B8" s="1"/>
      <c r="C8" s="1"/>
      <c r="D8" s="1"/>
      <c r="E8" s="16"/>
      <c r="F8" s="16"/>
      <c r="G8" s="16"/>
      <c r="H8" s="16"/>
      <c r="I8" s="1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0" customHeight="1">
      <c r="A9" s="1"/>
      <c r="B9" s="1"/>
      <c r="C9" s="1"/>
      <c r="D9" s="1"/>
      <c r="E9" s="8"/>
      <c r="F9" s="17" t="s">
        <v>5</v>
      </c>
      <c r="G9" s="17" t="s">
        <v>6</v>
      </c>
      <c r="H9" s="17" t="s">
        <v>7</v>
      </c>
      <c r="I9" s="17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2.0" customHeight="1">
      <c r="A10" s="1"/>
      <c r="B10" s="1"/>
      <c r="C10" s="1"/>
      <c r="D10" s="1"/>
      <c r="E10" s="17" t="s">
        <v>10</v>
      </c>
      <c r="F10" s="18">
        <f>6.38*10^6*VLOOKUP($C$5,'LCA Data'!B115:L121,10,FALSE)</f>
        <v>7396873.846</v>
      </c>
      <c r="G10" s="18">
        <f>1.51*10^8*VLOOKUP(C5,'LCA Data'!B115:M121,12,FALSE)</f>
        <v>155969076.6</v>
      </c>
      <c r="H10" s="18">
        <f>VLOOKUP($C$5,'LCA Data'!B115:M121,11,FALSE)</f>
        <v>271387397.3</v>
      </c>
      <c r="I10" s="19" t="s">
        <v>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2.0" customHeight="1">
      <c r="A11" s="1"/>
      <c r="B11" s="1"/>
      <c r="C11" s="1"/>
      <c r="D11" s="1"/>
      <c r="E11" s="20" t="s">
        <v>12</v>
      </c>
      <c r="F11" s="21">
        <f>'Construction and Materials'!E11</f>
        <v>4010979.795</v>
      </c>
      <c r="G11" s="21">
        <f>'Construction and Materials'!F11</f>
        <v>30756534.11</v>
      </c>
      <c r="H11" s="21">
        <f>'Construction and Materials'!G11</f>
        <v>46676815.88</v>
      </c>
      <c r="I11" s="22">
        <f>'Construction and Materials'!H11</f>
        <v>0.1423864987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0" customHeight="1">
      <c r="A12" s="1"/>
      <c r="B12" s="1"/>
      <c r="C12" s="1"/>
      <c r="D12" s="1"/>
      <c r="E12" s="20" t="s">
        <v>13</v>
      </c>
      <c r="F12" s="23">
        <f t="shared" ref="F12:H12" si="1">F11/F10</f>
        <v>0.5422533734</v>
      </c>
      <c r="G12" s="23">
        <f t="shared" si="1"/>
        <v>0.1971963595</v>
      </c>
      <c r="H12" s="23">
        <f t="shared" si="1"/>
        <v>0.1719933068</v>
      </c>
      <c r="I12" s="24" t="s">
        <v>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2.0" customHeight="1">
      <c r="A13" s="1"/>
      <c r="B13" s="1"/>
      <c r="C13" s="1"/>
      <c r="D13" s="1"/>
      <c r="E13" s="25" t="s">
        <v>15</v>
      </c>
      <c r="F13" s="47">
        <f t="shared" ref="F13:I13" si="2">(F19+F23+F25+F27+F29+F39+F40)*50</f>
        <v>0</v>
      </c>
      <c r="G13" s="47">
        <f t="shared" si="2"/>
        <v>0</v>
      </c>
      <c r="H13" s="47">
        <f t="shared" si="2"/>
        <v>0</v>
      </c>
      <c r="I13" s="48">
        <f t="shared" si="2"/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2.0" customHeight="1">
      <c r="A14" s="1"/>
      <c r="B14" s="1"/>
      <c r="C14" s="1"/>
      <c r="D14" s="1"/>
      <c r="E14" s="25" t="s">
        <v>13</v>
      </c>
      <c r="F14" s="49">
        <f t="shared" ref="F14:H14" si="3">F13/F10</f>
        <v>0</v>
      </c>
      <c r="G14" s="49">
        <f t="shared" si="3"/>
        <v>0</v>
      </c>
      <c r="H14" s="49">
        <f t="shared" si="3"/>
        <v>0</v>
      </c>
      <c r="I14" s="50" t="s">
        <v>14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2.0" customHeight="1">
      <c r="A15" s="1"/>
      <c r="B15" s="1"/>
      <c r="C15" s="1"/>
      <c r="D15" s="1"/>
      <c r="E15" s="30" t="s">
        <v>16</v>
      </c>
      <c r="F15" s="31">
        <f t="shared" ref="F15:H15" si="4">F14+F12</f>
        <v>0.5422533734</v>
      </c>
      <c r="G15" s="31">
        <f t="shared" si="4"/>
        <v>0.1971963595</v>
      </c>
      <c r="H15" s="31">
        <f t="shared" si="4"/>
        <v>0.1719933068</v>
      </c>
      <c r="I15" s="32" t="s">
        <v>14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2.0" customHeight="1">
      <c r="A16" s="1"/>
      <c r="B16" s="1"/>
      <c r="C16" s="1"/>
      <c r="D16" s="1"/>
      <c r="E16" s="30"/>
      <c r="F16" s="31"/>
      <c r="G16" s="31"/>
      <c r="H16" s="31"/>
      <c r="I16" s="3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2.0" customHeight="1">
      <c r="A17" s="1"/>
      <c r="B17" s="1"/>
      <c r="C17" s="1"/>
      <c r="D17" s="1"/>
      <c r="E17" s="1"/>
      <c r="F17" s="51" t="s">
        <v>38</v>
      </c>
      <c r="G17" s="14"/>
      <c r="H17" s="14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2.0" customHeight="1">
      <c r="A18" s="1"/>
      <c r="B18" s="4" t="s">
        <v>39</v>
      </c>
      <c r="C18" s="52"/>
      <c r="D18" s="52"/>
      <c r="E18" s="52"/>
      <c r="F18" s="33" t="s">
        <v>5</v>
      </c>
      <c r="G18" s="33" t="s">
        <v>6</v>
      </c>
      <c r="H18" s="33" t="s">
        <v>7</v>
      </c>
      <c r="I18" s="33" t="s">
        <v>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2.0" customHeight="1">
      <c r="A19" s="1"/>
      <c r="B19" s="3" t="s">
        <v>40</v>
      </c>
      <c r="C19" s="3"/>
      <c r="D19" s="53"/>
      <c r="E19" s="3" t="s">
        <v>41</v>
      </c>
      <c r="F19" s="37">
        <f>VLOOKUP($C$5,'LCA Data'!B115:J121,2,FALSE)*$D$19</f>
        <v>0</v>
      </c>
      <c r="G19" s="37">
        <f>VLOOKUP($C$5,'LCA Data'!B115:J121,7,FALSE)*$D$19</f>
        <v>0</v>
      </c>
      <c r="H19" s="37">
        <f>VLOOKUP($C$5,'LCA Data'!B115:J121,8,FALSE)*$D$19</f>
        <v>0</v>
      </c>
      <c r="I19" s="54">
        <f>VLOOKUP($C$5,'LCA Data'!B115:J121,9,FALSE)*$D$19</f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2.0" customHeight="1">
      <c r="A20" s="1"/>
      <c r="B20" s="3" t="s">
        <v>42</v>
      </c>
      <c r="C20" s="3"/>
      <c r="D20" s="53"/>
      <c r="E20" s="3" t="s">
        <v>41</v>
      </c>
      <c r="F20" s="37">
        <f t="shared" ref="F20:I20" si="5">0*$D$20</f>
        <v>0</v>
      </c>
      <c r="G20" s="37">
        <f t="shared" si="5"/>
        <v>0</v>
      </c>
      <c r="H20" s="37">
        <f t="shared" si="5"/>
        <v>0</v>
      </c>
      <c r="I20" s="54">
        <f t="shared" si="5"/>
        <v>0</v>
      </c>
      <c r="J20" s="5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2.0" customHeight="1">
      <c r="A21" s="1"/>
      <c r="B21" s="3" t="str">
        <f>IF(C5="Ridge","District Heating:","Cogeneration:")</f>
        <v>Cogeneration:</v>
      </c>
      <c r="C21" s="3"/>
      <c r="D21" s="3"/>
      <c r="E21" s="3"/>
      <c r="F21" s="37"/>
      <c r="G21" s="37"/>
      <c r="H21" s="37"/>
      <c r="I21" s="54"/>
      <c r="J21" s="5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2.0" customHeight="1">
      <c r="A22" s="1"/>
      <c r="B22" s="3"/>
      <c r="C22" s="3" t="s">
        <v>43</v>
      </c>
      <c r="D22" s="53" t="s">
        <v>44</v>
      </c>
      <c r="E22" s="3"/>
      <c r="F22" s="37"/>
      <c r="G22" s="37"/>
      <c r="H22" s="37"/>
      <c r="I22" s="54"/>
      <c r="J22" s="55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2.0" customHeight="1">
      <c r="A23" s="1"/>
      <c r="B23" s="3"/>
      <c r="C23" s="3" t="str">
        <f>IF($C$5="Atlantic","Thermal Energy","Electricity")</f>
        <v>Electricity</v>
      </c>
      <c r="D23" s="53"/>
      <c r="E23" s="3" t="s">
        <v>41</v>
      </c>
      <c r="F23" s="37">
        <f>IF($D$22="Select Fuel",0,$D23*(1/($D$24+$D$26+$D$28))*VLOOKUP($D$22,'Cogen Data'!$B$5:$J$14,9,FALSE)*($D$24/($D$24+$D$26+$D$28))*3.6)</f>
        <v>0</v>
      </c>
      <c r="G23" s="37">
        <f>IF($D$22="Select Fuel",0,$D23*(1/($D$24+$D$26+$D$28))*($D$24/($D$24+$D$26+$D$28))*3.6)</f>
        <v>0</v>
      </c>
      <c r="H23" s="37">
        <f>IF($D$22="Select Fuel",0,$D23*(1/($D$24+$D$26+$D$28))*VLOOKUP($D$22,'Cogen Data'!$B$5:$J$14,6,FALSE)/VLOOKUP($D$22,'Cogen Data'!$B$5:$J$14,8,FALSE)*($D$24/($D$24+$D$26+$D$28))*3.6)</f>
        <v>0</v>
      </c>
      <c r="I23" s="54">
        <f>IF($D$22="Select Fuel",0,$D23*(1/($D$24+$D$26+$D$28))*VLOOKUP($D$22,'Cogen Data'!$B$5:$J$14,7,FALSE)/VLOOKUP($D$22,'Cogen Data'!$B$5:$J$14,8,FALSE)*($D$24/($D$24+$D$26+$D$28))*3.6)</f>
        <v>0</v>
      </c>
      <c r="J23" s="55"/>
      <c r="K23" s="5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2.0" customHeight="1">
      <c r="A24" s="1"/>
      <c r="B24" s="3"/>
      <c r="C24" s="57" t="s">
        <v>45</v>
      </c>
      <c r="D24" s="58">
        <v>0.0</v>
      </c>
      <c r="E24" s="3"/>
      <c r="F24" s="37"/>
      <c r="G24" s="37"/>
      <c r="H24" s="37"/>
      <c r="I24" s="54"/>
      <c r="J24" s="55"/>
      <c r="K24" s="5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2.0" customHeight="1">
      <c r="A25" s="1"/>
      <c r="B25" s="3"/>
      <c r="C25" s="3" t="s">
        <v>46</v>
      </c>
      <c r="D25" s="53"/>
      <c r="E25" s="3" t="s">
        <v>47</v>
      </c>
      <c r="F25" s="37">
        <f>IF($D$22="Select Fuel",0,$D25*(1/($D$24+$D$26+$D$28))*VLOOKUP($D$22,'Cogen Data'!$B$5:$J$14,9,FALSE)*($D$26/($D$24+$D$26+$D$28)))</f>
        <v>0</v>
      </c>
      <c r="G25" s="37">
        <f>IF($D$22="Select Fuel",0,$D25*(1/($D$24+$D$26+$D$28))*($D$26/($D$24+$D$26+$D$28)))</f>
        <v>0</v>
      </c>
      <c r="H25" s="37">
        <f>IF($D$22="Select Fuel",0,$D25*(1/($D$24+$D$26+$D$28))*VLOOKUP($D$22,'Cogen Data'!$B$5:$J$14,6,FALSE)/VLOOKUP($D$22,'Cogen Data'!$B$5:$J$14,8,FALSE)*($D$26/($D$24+$D$26+$D$28)))</f>
        <v>0</v>
      </c>
      <c r="I25" s="54">
        <f>IF($D$22="Select Fuel",0,$D25*(1/($D$24+$D$26+$D$28))*VLOOKUP($D$22,'Cogen Data'!$B$5:$J$14,7,FALSE)/VLOOKUP($D$22,'Cogen Data'!$B$5:$J$14,8,FALSE)*($D$26/($D$24+$D$26+$D$28)))</f>
        <v>0</v>
      </c>
      <c r="J25" s="59"/>
      <c r="K25" s="5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2.0" customHeight="1">
      <c r="A26" s="1"/>
      <c r="B26" s="3"/>
      <c r="C26" s="57" t="s">
        <v>48</v>
      </c>
      <c r="D26" s="58">
        <v>0.0</v>
      </c>
      <c r="E26" s="3"/>
      <c r="F26" s="37"/>
      <c r="G26" s="37"/>
      <c r="H26" s="37"/>
      <c r="I26" s="54"/>
      <c r="J26" s="59"/>
      <c r="K26" s="5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2.0" customHeight="1">
      <c r="A27" s="1"/>
      <c r="B27" s="3"/>
      <c r="C27" s="3" t="s">
        <v>49</v>
      </c>
      <c r="D27" s="53"/>
      <c r="E27" s="3" t="s">
        <v>41</v>
      </c>
      <c r="F27" s="37">
        <f>IF($D$22="Select Fuel",0,$D27*(1/($D$24+$D$26+$D$28))*VLOOKUP($D$22,'Cogen Data'!$B$5:$J$14,9,FALSE)*($D$28/($D$24+$D$26+$D$28))*3.6)</f>
        <v>0</v>
      </c>
      <c r="G27" s="37">
        <f>IF($D$22="Select Fuel",0,$D27*(1/($D$24+$D$26+$D$28))*($D$28/($D$24+$D$26+$D$28))*3.6)</f>
        <v>0</v>
      </c>
      <c r="H27" s="37">
        <f>IF($D$22="Select Fuel",0,$D27*(1/($D$24+$D$26+$D$28))*VLOOKUP($D$22,'Cogen Data'!$B$5:$J$14,6,FALSE)/VLOOKUP($D$22,'Cogen Data'!$B$5:$J$14,8,FALSE)*($D$28/($D$24+$D$26+$D$28))*3.6)</f>
        <v>0</v>
      </c>
      <c r="I27" s="54">
        <f>IF($D$22="Select Fuel",0,$D27*(1/($D$24+$D$26+$D$28))*VLOOKUP($D$22,'Cogen Data'!$B$5:$J$14,7,FALSE)/VLOOKUP($D$22,'Cogen Data'!$B$5:$J$14,8,FALSE)*($D$28/($D$24+$D$26+$D$28))*3.6)</f>
        <v>0</v>
      </c>
      <c r="J27" s="59"/>
      <c r="K27" s="5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2.0" customHeight="1">
      <c r="A28" s="1"/>
      <c r="B28" s="3"/>
      <c r="C28" s="57" t="s">
        <v>50</v>
      </c>
      <c r="D28" s="58">
        <v>0.0</v>
      </c>
      <c r="E28" s="3"/>
      <c r="F28" s="59"/>
      <c r="G28" s="59"/>
      <c r="H28" s="59"/>
      <c r="I28" s="60"/>
      <c r="J28" s="59"/>
      <c r="K28" s="5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2.0" customHeight="1">
      <c r="A29" s="1"/>
      <c r="B29" s="3" t="s">
        <v>51</v>
      </c>
      <c r="C29" s="3"/>
      <c r="D29" s="53"/>
      <c r="E29" s="3" t="s">
        <v>52</v>
      </c>
      <c r="F29" s="37">
        <f>$D$29*37*10^6/(1.055*10^9)*(117/2.2) + $D$29*0.38</f>
        <v>0</v>
      </c>
      <c r="G29" s="37">
        <f>37*D29</f>
        <v>0</v>
      </c>
      <c r="H29" s="37">
        <f>0.00618*1000*$D$29</f>
        <v>0</v>
      </c>
      <c r="I29" s="54">
        <f>$D$29*3.07*10^-7</f>
        <v>0</v>
      </c>
      <c r="J29" s="5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2.0" customHeight="1">
      <c r="A30" s="1"/>
      <c r="B30" s="3"/>
      <c r="C30" s="3"/>
      <c r="D30" s="1"/>
      <c r="E30" s="3"/>
      <c r="F30" s="3"/>
      <c r="G30" s="3"/>
      <c r="H30" s="3"/>
      <c r="I30" s="3"/>
      <c r="J30" s="5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2.0" customHeight="1">
      <c r="A31" s="1"/>
      <c r="B31" s="4" t="s">
        <v>53</v>
      </c>
      <c r="C31" s="52"/>
      <c r="D31" s="52"/>
      <c r="E31" s="52"/>
      <c r="F31" s="33" t="s">
        <v>5</v>
      </c>
      <c r="G31" s="33" t="s">
        <v>6</v>
      </c>
      <c r="H31" s="33" t="s">
        <v>7</v>
      </c>
      <c r="I31" s="33" t="s">
        <v>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2.0" customHeight="1">
      <c r="A32" s="1"/>
      <c r="B32" s="3" t="s">
        <v>54</v>
      </c>
      <c r="C32" s="3"/>
      <c r="D32" s="61">
        <v>0.0</v>
      </c>
      <c r="E32" s="3" t="s">
        <v>55</v>
      </c>
      <c r="F32" s="37">
        <f>900*3*250*IF(NOT(ISBLANK($D$33)),0.75,1)*$D32*0.000317*3.79</f>
        <v>0</v>
      </c>
      <c r="G32" s="37">
        <f>900*3*250*IF(NOT(ISBLANK($D$33)),0.75,1)*$D32*8.44*10^-5*41.868*3.79</f>
        <v>0</v>
      </c>
      <c r="H32" s="37">
        <f>900*3*250*IF(NOT(ISBLANK($D$33)),0.75,1)*$D32*(1+0.00113*1000)*3.79</f>
        <v>0</v>
      </c>
      <c r="I32" s="54">
        <f>900*3*250*IF(NOT(ISBLANK($D$33)),0.75,1)*$D32*1.62*10^-11*3.79</f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2.0" customHeight="1">
      <c r="A33" s="1"/>
      <c r="B33" s="3" t="s">
        <v>56</v>
      </c>
      <c r="C33" s="3"/>
      <c r="D33" s="61">
        <v>0.0</v>
      </c>
      <c r="E33" s="3" t="s">
        <v>55</v>
      </c>
      <c r="F33" s="37">
        <f>900*3*250*0.25*$D33*0.000317*3.79</f>
        <v>0</v>
      </c>
      <c r="G33" s="37">
        <f>900*3*250*0.25*$D33*8.44*10^-5*41.868*3.79</f>
        <v>0</v>
      </c>
      <c r="H33" s="37">
        <f>900*3*250*0.25*$D33*(1+0.00113*1000)*3.79</f>
        <v>0</v>
      </c>
      <c r="I33" s="54">
        <f>900*3*250*0.25*$D33*1.62*10^-11*3.79</f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2.0" customHeight="1">
      <c r="A34" s="1"/>
      <c r="B34" s="3" t="s">
        <v>57</v>
      </c>
      <c r="C34" s="3"/>
      <c r="D34" s="61">
        <v>0.0</v>
      </c>
      <c r="E34" s="3" t="s">
        <v>58</v>
      </c>
      <c r="F34" s="37">
        <f>900*0.5*3*250*$D34*0.000317*3.79</f>
        <v>0</v>
      </c>
      <c r="G34" s="37">
        <f>900*0.5*3*250*$D34*8.44*10^-5*41.868*3.79</f>
        <v>0</v>
      </c>
      <c r="H34" s="37">
        <f>900*0.5*3*250*$D34*(1+0.00113*1000)*3.79</f>
        <v>0</v>
      </c>
      <c r="I34" s="54">
        <f>900*0.5*3*250*$D34*1.62*10^-11*3.79</f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2.0" customHeight="1">
      <c r="A35" s="1"/>
      <c r="B35" s="3" t="s">
        <v>59</v>
      </c>
      <c r="C35" s="3"/>
      <c r="D35" s="61">
        <v>0.0</v>
      </c>
      <c r="E35" s="3" t="s">
        <v>58</v>
      </c>
      <c r="F35" s="37">
        <f>900*0.2*1*250*$D35*0.000317*3.79</f>
        <v>0</v>
      </c>
      <c r="G35" s="37">
        <f>900*0.2*1*250*$D35*8.44*10^-5*41.868*3.79</f>
        <v>0</v>
      </c>
      <c r="H35" s="37">
        <f>900*0.2*1*250*$D35*(1+0.00113*1000)*3.79</f>
        <v>0</v>
      </c>
      <c r="I35" s="54">
        <f>900*0.2*1*250*$D35*1.62*10^-11*3.79</f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2.0" customHeight="1">
      <c r="A36" s="1"/>
      <c r="B36" s="3" t="s">
        <v>60</v>
      </c>
      <c r="C36" s="3"/>
      <c r="D36" s="61">
        <v>0.0</v>
      </c>
      <c r="E36" s="3" t="s">
        <v>58</v>
      </c>
      <c r="F36" s="37">
        <f>900*0.25*1*250*$D36*0.000317*3.79</f>
        <v>0</v>
      </c>
      <c r="G36" s="37">
        <f>900*0.25*1*250*$D36*8.44*10^-5*41.868*3.79</f>
        <v>0</v>
      </c>
      <c r="H36" s="37">
        <f>900*0.25*1*250*$D36*(1+0.00113*1000)*3.79</f>
        <v>0</v>
      </c>
      <c r="I36" s="54">
        <f>900*0.25*1*250*$D36*1.62*10^-11*3.79</f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2.0" customHeight="1">
      <c r="A37" s="1"/>
      <c r="B37" s="3" t="s">
        <v>61</v>
      </c>
      <c r="C37" s="3"/>
      <c r="D37" s="61">
        <v>0.0</v>
      </c>
      <c r="E37" s="3" t="s">
        <v>58</v>
      </c>
      <c r="F37" s="37">
        <f>900*0.01*10*250*$D37*0.000317*3.79</f>
        <v>0</v>
      </c>
      <c r="G37" s="37">
        <f>900*0.01*10*250*$D37*8.44*10^-5*41.868*3.79</f>
        <v>0</v>
      </c>
      <c r="H37" s="37">
        <f>900*0.01*10*250*$D37*(1+0.00113*1000)*3.79</f>
        <v>0</v>
      </c>
      <c r="I37" s="54">
        <f>900*0.01*10*250*$D37*1.62*10^-11*3.79</f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2.0" customHeight="1">
      <c r="A38" s="1"/>
      <c r="B38" s="3" t="s">
        <v>62</v>
      </c>
      <c r="C38" s="3"/>
      <c r="D38" s="53"/>
      <c r="E38" s="3" t="s">
        <v>63</v>
      </c>
      <c r="F38" s="37">
        <f>$D38*0.000317*3.79</f>
        <v>0</v>
      </c>
      <c r="G38" s="37">
        <f>$D38*8.44*10^-5*41.868*3.79</f>
        <v>0</v>
      </c>
      <c r="H38" s="37">
        <f>$D38*(1+0.00113*1000)*3.79</f>
        <v>0</v>
      </c>
      <c r="I38" s="54">
        <f>$D38*1.62*10^-11*3.79</f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2.0" customHeight="1">
      <c r="A39" s="1"/>
      <c r="B39" s="1" t="s">
        <v>64</v>
      </c>
      <c r="C39" s="1"/>
      <c r="D39" s="46">
        <v>3.0</v>
      </c>
      <c r="E39" s="1"/>
      <c r="F39" s="62">
        <f t="shared" ref="F39:I39" si="6">SUM(F32:F38)</f>
        <v>0</v>
      </c>
      <c r="G39" s="62">
        <f t="shared" si="6"/>
        <v>0</v>
      </c>
      <c r="H39" s="62">
        <f t="shared" si="6"/>
        <v>0</v>
      </c>
      <c r="I39" s="62">
        <f t="shared" si="6"/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2.0" customHeight="1">
      <c r="A40" s="1"/>
      <c r="B40" s="3" t="s">
        <v>65</v>
      </c>
      <c r="C40" s="1"/>
      <c r="D40" s="53"/>
      <c r="E40" s="3" t="s">
        <v>63</v>
      </c>
      <c r="F40" s="8">
        <v>0.0</v>
      </c>
      <c r="G40" s="8">
        <v>0.0</v>
      </c>
      <c r="H40" s="37">
        <f>-MIN(D40*(1+0.00113*1000)*3.79,H32+H33+H38)</f>
        <v>0</v>
      </c>
      <c r="I40" s="8">
        <v>0.0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2.0" customHeight="1">
      <c r="A41" s="1"/>
      <c r="B41" s="1"/>
      <c r="C41" s="1"/>
      <c r="D41" s="1"/>
      <c r="E41" s="1"/>
      <c r="F41" s="4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0" customHeight="1">
      <c r="A146" s="1"/>
      <c r="B146" s="42"/>
      <c r="C146" s="42"/>
      <c r="D146" s="42"/>
      <c r="E146" s="42"/>
      <c r="F146" s="42"/>
      <c r="G146" s="42"/>
      <c r="H146" s="42"/>
      <c r="I146" s="4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0" customHeight="1">
      <c r="A147" s="1"/>
      <c r="B147" s="42"/>
      <c r="C147" s="42"/>
      <c r="D147" s="42"/>
      <c r="E147" s="42"/>
      <c r="F147" s="42"/>
      <c r="G147" s="42"/>
      <c r="H147" s="42"/>
      <c r="I147" s="4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0" customHeight="1">
      <c r="A148" s="1"/>
      <c r="B148" s="42"/>
      <c r="C148" s="42"/>
      <c r="D148" s="42"/>
      <c r="E148" s="42"/>
      <c r="F148" s="42"/>
      <c r="G148" s="42"/>
      <c r="H148" s="42"/>
      <c r="I148" s="4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0" customHeight="1">
      <c r="A149" s="1"/>
      <c r="B149" s="42"/>
      <c r="C149" s="42"/>
      <c r="D149" s="42"/>
      <c r="E149" s="42"/>
      <c r="F149" s="42"/>
      <c r="G149" s="42"/>
      <c r="H149" s="42"/>
      <c r="I149" s="4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0" customHeight="1">
      <c r="A150" s="1"/>
      <c r="B150" s="42"/>
      <c r="C150" s="42"/>
      <c r="D150" s="42"/>
      <c r="E150" s="42"/>
      <c r="F150" s="42"/>
      <c r="G150" s="42"/>
      <c r="H150" s="42"/>
      <c r="I150" s="4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0" customHeight="1">
      <c r="A151" s="1"/>
      <c r="B151" s="42"/>
      <c r="C151" s="42"/>
      <c r="D151" s="42"/>
      <c r="E151" s="42"/>
      <c r="F151" s="42"/>
      <c r="G151" s="42"/>
      <c r="H151" s="42"/>
      <c r="I151" s="4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0" customHeight="1">
      <c r="A152" s="1"/>
      <c r="B152" s="42"/>
      <c r="C152" s="42"/>
      <c r="D152" s="42"/>
      <c r="E152" s="42"/>
      <c r="F152" s="42"/>
      <c r="G152" s="42"/>
      <c r="H152" s="42"/>
      <c r="I152" s="4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0" customHeight="1">
      <c r="A153" s="1"/>
      <c r="B153" s="42"/>
      <c r="C153" s="42"/>
      <c r="D153" s="42"/>
      <c r="E153" s="42"/>
      <c r="F153" s="42"/>
      <c r="G153" s="42"/>
      <c r="H153" s="42"/>
      <c r="I153" s="4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0" customHeight="1">
      <c r="A154" s="1"/>
      <c r="B154" s="42"/>
      <c r="C154" s="42"/>
      <c r="D154" s="42"/>
      <c r="E154" s="42"/>
      <c r="F154" s="42"/>
      <c r="G154" s="42"/>
      <c r="H154" s="42"/>
      <c r="I154" s="4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0" customHeight="1">
      <c r="A155" s="1"/>
      <c r="B155" s="42"/>
      <c r="C155" s="42"/>
      <c r="D155" s="42"/>
      <c r="E155" s="42"/>
      <c r="F155" s="42"/>
      <c r="G155" s="42"/>
      <c r="H155" s="42"/>
      <c r="I155" s="4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0" customHeight="1">
      <c r="A156" s="1"/>
      <c r="B156" s="42"/>
      <c r="C156" s="42"/>
      <c r="D156" s="42"/>
      <c r="E156" s="42"/>
      <c r="F156" s="42"/>
      <c r="G156" s="42"/>
      <c r="H156" s="42"/>
      <c r="I156" s="4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0" customHeight="1">
      <c r="A157" s="1"/>
      <c r="B157" s="42"/>
      <c r="C157" s="42"/>
      <c r="D157" s="42"/>
      <c r="E157" s="42"/>
      <c r="F157" s="42"/>
      <c r="G157" s="42"/>
      <c r="H157" s="42"/>
      <c r="I157" s="4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0" customHeight="1">
      <c r="A158" s="1"/>
      <c r="B158" s="42"/>
      <c r="C158" s="42"/>
      <c r="D158" s="42"/>
      <c r="E158" s="42"/>
      <c r="F158" s="42"/>
      <c r="G158" s="42"/>
      <c r="H158" s="42"/>
      <c r="I158" s="4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0" customHeight="1">
      <c r="A159" s="1"/>
      <c r="B159" s="42"/>
      <c r="C159" s="42"/>
      <c r="D159" s="42"/>
      <c r="E159" s="42"/>
      <c r="F159" s="42"/>
      <c r="G159" s="42"/>
      <c r="H159" s="42"/>
      <c r="I159" s="4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0" customHeight="1">
      <c r="A160" s="1"/>
      <c r="B160" s="42"/>
      <c r="C160" s="42"/>
      <c r="D160" s="42"/>
      <c r="E160" s="42"/>
      <c r="F160" s="42"/>
      <c r="G160" s="42"/>
      <c r="H160" s="42"/>
      <c r="I160" s="4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0" customHeight="1">
      <c r="A161" s="1"/>
      <c r="B161" s="42"/>
      <c r="C161" s="42"/>
      <c r="D161" s="42"/>
      <c r="E161" s="42"/>
      <c r="F161" s="42"/>
      <c r="G161" s="42"/>
      <c r="H161" s="42"/>
      <c r="I161" s="4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0" customHeight="1">
      <c r="A162" s="1"/>
      <c r="B162" s="42"/>
      <c r="C162" s="42"/>
      <c r="D162" s="42"/>
      <c r="E162" s="42"/>
      <c r="F162" s="42"/>
      <c r="G162" s="42"/>
      <c r="H162" s="42"/>
      <c r="I162" s="4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0" customHeight="1">
      <c r="A163" s="1"/>
      <c r="B163" s="42"/>
      <c r="C163" s="42"/>
      <c r="D163" s="42"/>
      <c r="E163" s="42"/>
      <c r="F163" s="42"/>
      <c r="G163" s="42"/>
      <c r="H163" s="42"/>
      <c r="I163" s="4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0" customHeight="1">
      <c r="A164" s="1"/>
      <c r="B164" s="42"/>
      <c r="C164" s="42"/>
      <c r="D164" s="42"/>
      <c r="E164" s="42"/>
      <c r="F164" s="42"/>
      <c r="G164" s="42"/>
      <c r="H164" s="42"/>
      <c r="I164" s="4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0" customHeight="1">
      <c r="A165" s="1"/>
      <c r="B165" s="42"/>
      <c r="C165" s="42"/>
      <c r="D165" s="42"/>
      <c r="E165" s="42"/>
      <c r="F165" s="42"/>
      <c r="G165" s="42"/>
      <c r="H165" s="42"/>
      <c r="I165" s="4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0" customHeight="1">
      <c r="A166" s="1"/>
      <c r="B166" s="42"/>
      <c r="C166" s="42"/>
      <c r="D166" s="42"/>
      <c r="E166" s="42"/>
      <c r="F166" s="42"/>
      <c r="G166" s="42"/>
      <c r="H166" s="42"/>
      <c r="I166" s="4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0" customHeight="1">
      <c r="A167" s="1"/>
      <c r="B167" s="42"/>
      <c r="C167" s="42"/>
      <c r="D167" s="42"/>
      <c r="E167" s="42"/>
      <c r="F167" s="42"/>
      <c r="G167" s="42"/>
      <c r="H167" s="42"/>
      <c r="I167" s="4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0" customHeight="1">
      <c r="A168" s="1"/>
      <c r="B168" s="42"/>
      <c r="C168" s="42"/>
      <c r="D168" s="42"/>
      <c r="E168" s="42"/>
      <c r="F168" s="42"/>
      <c r="G168" s="42"/>
      <c r="H168" s="42"/>
      <c r="I168" s="4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0" customHeight="1">
      <c r="A169" s="1"/>
      <c r="B169" s="42"/>
      <c r="C169" s="42"/>
      <c r="D169" s="42"/>
      <c r="E169" s="42"/>
      <c r="F169" s="42"/>
      <c r="G169" s="42"/>
      <c r="H169" s="42"/>
      <c r="I169" s="4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0" customHeight="1">
      <c r="A170" s="1"/>
      <c r="B170" s="42"/>
      <c r="C170" s="42"/>
      <c r="D170" s="42"/>
      <c r="E170" s="42"/>
      <c r="F170" s="42"/>
      <c r="G170" s="42"/>
      <c r="H170" s="42"/>
      <c r="I170" s="4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0" customHeight="1">
      <c r="A171" s="1"/>
      <c r="B171" s="42"/>
      <c r="C171" s="42"/>
      <c r="D171" s="42"/>
      <c r="E171" s="42"/>
      <c r="F171" s="42"/>
      <c r="G171" s="42"/>
      <c r="H171" s="42"/>
      <c r="I171" s="4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0" customHeight="1">
      <c r="A172" s="1"/>
      <c r="B172" s="42"/>
      <c r="C172" s="42"/>
      <c r="D172" s="42"/>
      <c r="E172" s="42"/>
      <c r="F172" s="42"/>
      <c r="G172" s="42"/>
      <c r="H172" s="42"/>
      <c r="I172" s="4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0" customHeight="1">
      <c r="A173" s="1"/>
      <c r="B173" s="42"/>
      <c r="C173" s="42"/>
      <c r="D173" s="42"/>
      <c r="E173" s="42"/>
      <c r="F173" s="42"/>
      <c r="G173" s="42"/>
      <c r="H173" s="42"/>
      <c r="I173" s="4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0" customHeight="1">
      <c r="A174" s="1"/>
      <c r="B174" s="42"/>
      <c r="C174" s="42"/>
      <c r="D174" s="42"/>
      <c r="E174" s="42"/>
      <c r="F174" s="42"/>
      <c r="G174" s="42"/>
      <c r="H174" s="42"/>
      <c r="I174" s="4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0" customHeight="1">
      <c r="A175" s="1"/>
      <c r="B175" s="42"/>
      <c r="C175" s="42"/>
      <c r="D175" s="42"/>
      <c r="E175" s="42"/>
      <c r="F175" s="42"/>
      <c r="G175" s="42"/>
      <c r="H175" s="42"/>
      <c r="I175" s="4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0" customHeight="1">
      <c r="A176" s="1"/>
      <c r="B176" s="42"/>
      <c r="C176" s="42"/>
      <c r="D176" s="42"/>
      <c r="E176" s="42"/>
      <c r="F176" s="42"/>
      <c r="G176" s="42"/>
      <c r="H176" s="42"/>
      <c r="I176" s="4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0" customHeight="1">
      <c r="A177" s="1"/>
      <c r="B177" s="42"/>
      <c r="C177" s="42"/>
      <c r="D177" s="42"/>
      <c r="E177" s="42"/>
      <c r="F177" s="42"/>
      <c r="G177" s="42"/>
      <c r="H177" s="42"/>
      <c r="I177" s="4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0" customHeight="1">
      <c r="A178" s="1"/>
      <c r="B178" s="42"/>
      <c r="C178" s="42"/>
      <c r="D178" s="42"/>
      <c r="E178" s="42"/>
      <c r="F178" s="42"/>
      <c r="G178" s="42"/>
      <c r="H178" s="42"/>
      <c r="I178" s="4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0" customHeight="1">
      <c r="A179" s="1"/>
      <c r="B179" s="42"/>
      <c r="C179" s="42"/>
      <c r="D179" s="42"/>
      <c r="E179" s="42"/>
      <c r="F179" s="42"/>
      <c r="G179" s="42"/>
      <c r="H179" s="42"/>
      <c r="I179" s="4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0" customHeight="1">
      <c r="A180" s="1"/>
      <c r="B180" s="42"/>
      <c r="C180" s="42"/>
      <c r="D180" s="42"/>
      <c r="E180" s="42"/>
      <c r="F180" s="42"/>
      <c r="G180" s="42"/>
      <c r="H180" s="42"/>
      <c r="I180" s="4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0" customHeight="1">
      <c r="A181" s="1"/>
      <c r="B181" s="42"/>
      <c r="C181" s="42"/>
      <c r="D181" s="42"/>
      <c r="E181" s="42"/>
      <c r="F181" s="42"/>
      <c r="G181" s="42"/>
      <c r="H181" s="42"/>
      <c r="I181" s="4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0" customHeight="1">
      <c r="A182" s="1"/>
      <c r="B182" s="42"/>
      <c r="C182" s="42"/>
      <c r="D182" s="42"/>
      <c r="E182" s="42"/>
      <c r="F182" s="42"/>
      <c r="G182" s="42"/>
      <c r="H182" s="42"/>
      <c r="I182" s="4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0" customHeight="1">
      <c r="A183" s="1"/>
      <c r="B183" s="42"/>
      <c r="C183" s="42"/>
      <c r="D183" s="42"/>
      <c r="E183" s="42"/>
      <c r="F183" s="42"/>
      <c r="G183" s="42"/>
      <c r="H183" s="42"/>
      <c r="I183" s="4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0" customHeight="1">
      <c r="A184" s="1"/>
      <c r="B184" s="42"/>
      <c r="C184" s="42"/>
      <c r="D184" s="42"/>
      <c r="E184" s="42"/>
      <c r="F184" s="42"/>
      <c r="G184" s="42"/>
      <c r="H184" s="42"/>
      <c r="I184" s="4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0" customHeight="1">
      <c r="A185" s="1"/>
      <c r="B185" s="42"/>
      <c r="C185" s="42"/>
      <c r="D185" s="42"/>
      <c r="E185" s="42"/>
      <c r="F185" s="42"/>
      <c r="G185" s="42"/>
      <c r="H185" s="42"/>
      <c r="I185" s="4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0" customHeight="1">
      <c r="A186" s="1"/>
      <c r="B186" s="42"/>
      <c r="C186" s="42"/>
      <c r="D186" s="42"/>
      <c r="E186" s="42"/>
      <c r="F186" s="42"/>
      <c r="G186" s="42"/>
      <c r="H186" s="42"/>
      <c r="I186" s="4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0" customHeight="1">
      <c r="A187" s="1"/>
      <c r="B187" s="42"/>
      <c r="C187" s="42"/>
      <c r="D187" s="42"/>
      <c r="E187" s="42"/>
      <c r="F187" s="42"/>
      <c r="G187" s="42"/>
      <c r="H187" s="42"/>
      <c r="I187" s="4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0" customHeight="1">
      <c r="A188" s="1"/>
      <c r="B188" s="42"/>
      <c r="C188" s="42"/>
      <c r="D188" s="42"/>
      <c r="E188" s="42"/>
      <c r="F188" s="42"/>
      <c r="G188" s="42"/>
      <c r="H188" s="42"/>
      <c r="I188" s="4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0" customHeight="1">
      <c r="A189" s="1"/>
      <c r="B189" s="42"/>
      <c r="C189" s="42"/>
      <c r="D189" s="42"/>
      <c r="E189" s="42"/>
      <c r="F189" s="42"/>
      <c r="G189" s="42"/>
      <c r="H189" s="42"/>
      <c r="I189" s="4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0" customHeight="1">
      <c r="A190" s="1"/>
      <c r="B190" s="42"/>
      <c r="C190" s="42"/>
      <c r="D190" s="42"/>
      <c r="E190" s="42"/>
      <c r="F190" s="42"/>
      <c r="G190" s="42"/>
      <c r="H190" s="42"/>
      <c r="I190" s="4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0" customHeight="1">
      <c r="A191" s="1"/>
      <c r="B191" s="42"/>
      <c r="C191" s="42"/>
      <c r="D191" s="42"/>
      <c r="E191" s="42"/>
      <c r="F191" s="42"/>
      <c r="G191" s="42"/>
      <c r="H191" s="42"/>
      <c r="I191" s="4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0" customHeight="1">
      <c r="A192" s="1"/>
      <c r="B192" s="42"/>
      <c r="C192" s="42"/>
      <c r="D192" s="42"/>
      <c r="E192" s="42"/>
      <c r="F192" s="42"/>
      <c r="G192" s="42"/>
      <c r="H192" s="42"/>
      <c r="I192" s="4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0" customHeight="1">
      <c r="A193" s="1"/>
      <c r="B193" s="42"/>
      <c r="C193" s="42"/>
      <c r="D193" s="42"/>
      <c r="E193" s="42"/>
      <c r="F193" s="42"/>
      <c r="G193" s="42"/>
      <c r="H193" s="42"/>
      <c r="I193" s="4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0" customHeight="1">
      <c r="A194" s="1"/>
      <c r="B194" s="42"/>
      <c r="C194" s="42"/>
      <c r="D194" s="42"/>
      <c r="E194" s="42"/>
      <c r="F194" s="42"/>
      <c r="G194" s="42"/>
      <c r="H194" s="42"/>
      <c r="I194" s="4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0" customHeight="1">
      <c r="A195" s="1"/>
      <c r="B195" s="42"/>
      <c r="C195" s="42"/>
      <c r="D195" s="42"/>
      <c r="E195" s="42"/>
      <c r="F195" s="42"/>
      <c r="G195" s="42"/>
      <c r="H195" s="42"/>
      <c r="I195" s="4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0" customHeight="1">
      <c r="A196" s="1"/>
      <c r="B196" s="42"/>
      <c r="C196" s="42"/>
      <c r="D196" s="42"/>
      <c r="E196" s="42"/>
      <c r="F196" s="42"/>
      <c r="G196" s="42"/>
      <c r="H196" s="42"/>
      <c r="I196" s="4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0" customHeight="1">
      <c r="A197" s="1"/>
      <c r="B197" s="42"/>
      <c r="C197" s="42"/>
      <c r="D197" s="42"/>
      <c r="E197" s="42"/>
      <c r="F197" s="42"/>
      <c r="G197" s="42"/>
      <c r="H197" s="42"/>
      <c r="I197" s="4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0" customHeight="1">
      <c r="A198" s="1"/>
      <c r="B198" s="42"/>
      <c r="C198" s="42"/>
      <c r="D198" s="42"/>
      <c r="E198" s="42"/>
      <c r="F198" s="42"/>
      <c r="G198" s="42"/>
      <c r="H198" s="42"/>
      <c r="I198" s="4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0" customHeight="1">
      <c r="A199" s="1"/>
      <c r="B199" s="42"/>
      <c r="C199" s="42"/>
      <c r="D199" s="42"/>
      <c r="E199" s="42"/>
      <c r="F199" s="42"/>
      <c r="G199" s="42"/>
      <c r="H199" s="42"/>
      <c r="I199" s="4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0" customHeight="1">
      <c r="A200" s="1"/>
      <c r="B200" s="42"/>
      <c r="C200" s="42"/>
      <c r="D200" s="42"/>
      <c r="E200" s="42"/>
      <c r="F200" s="42"/>
      <c r="G200" s="42"/>
      <c r="H200" s="42"/>
      <c r="I200" s="4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0" customHeight="1">
      <c r="A201" s="1"/>
      <c r="B201" s="42"/>
      <c r="C201" s="42"/>
      <c r="D201" s="42"/>
      <c r="E201" s="42"/>
      <c r="F201" s="42"/>
      <c r="G201" s="42"/>
      <c r="H201" s="42"/>
      <c r="I201" s="4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0" customHeight="1">
      <c r="A202" s="1"/>
      <c r="B202" s="42"/>
      <c r="C202" s="42"/>
      <c r="D202" s="42"/>
      <c r="E202" s="42"/>
      <c r="F202" s="42"/>
      <c r="G202" s="42"/>
      <c r="H202" s="42"/>
      <c r="I202" s="4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0" customHeight="1">
      <c r="A203" s="1"/>
      <c r="B203" s="42"/>
      <c r="C203" s="42"/>
      <c r="D203" s="42"/>
      <c r="E203" s="42"/>
      <c r="F203" s="42"/>
      <c r="G203" s="42"/>
      <c r="H203" s="42"/>
      <c r="I203" s="4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0" customHeight="1">
      <c r="A204" s="1"/>
      <c r="B204" s="42"/>
      <c r="C204" s="42"/>
      <c r="D204" s="42"/>
      <c r="E204" s="42"/>
      <c r="F204" s="42"/>
      <c r="G204" s="42"/>
      <c r="H204" s="42"/>
      <c r="I204" s="4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0" customHeight="1">
      <c r="A205" s="1"/>
      <c r="B205" s="42"/>
      <c r="C205" s="42"/>
      <c r="D205" s="42"/>
      <c r="E205" s="42"/>
      <c r="F205" s="42"/>
      <c r="G205" s="42"/>
      <c r="H205" s="42"/>
      <c r="I205" s="4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0" customHeight="1">
      <c r="A206" s="1"/>
      <c r="B206" s="42"/>
      <c r="C206" s="42"/>
      <c r="D206" s="42"/>
      <c r="E206" s="42"/>
      <c r="F206" s="42"/>
      <c r="G206" s="42"/>
      <c r="H206" s="42"/>
      <c r="I206" s="4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0" customHeight="1">
      <c r="A207" s="1"/>
      <c r="B207" s="42"/>
      <c r="C207" s="42"/>
      <c r="D207" s="42"/>
      <c r="E207" s="42"/>
      <c r="F207" s="42"/>
      <c r="G207" s="42"/>
      <c r="H207" s="42"/>
      <c r="I207" s="4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0" customHeight="1">
      <c r="A208" s="1"/>
      <c r="B208" s="42"/>
      <c r="C208" s="42"/>
      <c r="D208" s="42"/>
      <c r="E208" s="42"/>
      <c r="F208" s="42"/>
      <c r="G208" s="42"/>
      <c r="H208" s="42"/>
      <c r="I208" s="4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0" customHeight="1">
      <c r="A209" s="1"/>
      <c r="B209" s="42"/>
      <c r="C209" s="42"/>
      <c r="D209" s="42"/>
      <c r="E209" s="42"/>
      <c r="F209" s="42"/>
      <c r="G209" s="42"/>
      <c r="H209" s="42"/>
      <c r="I209" s="4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0" customHeight="1">
      <c r="A210" s="1"/>
      <c r="B210" s="42"/>
      <c r="C210" s="42"/>
      <c r="D210" s="42"/>
      <c r="E210" s="42"/>
      <c r="F210" s="42"/>
      <c r="G210" s="42"/>
      <c r="H210" s="42"/>
      <c r="I210" s="4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0" customHeight="1">
      <c r="A211" s="1"/>
      <c r="B211" s="42"/>
      <c r="C211" s="42"/>
      <c r="D211" s="42"/>
      <c r="E211" s="42"/>
      <c r="F211" s="42"/>
      <c r="G211" s="42"/>
      <c r="H211" s="42"/>
      <c r="I211" s="4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0" customHeight="1">
      <c r="A212" s="1"/>
      <c r="B212" s="42"/>
      <c r="C212" s="42"/>
      <c r="D212" s="42"/>
      <c r="E212" s="42"/>
      <c r="F212" s="42"/>
      <c r="G212" s="42"/>
      <c r="H212" s="42"/>
      <c r="I212" s="4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0" customHeight="1">
      <c r="A213" s="1"/>
      <c r="B213" s="42"/>
      <c r="C213" s="42"/>
      <c r="D213" s="42"/>
      <c r="E213" s="42"/>
      <c r="F213" s="42"/>
      <c r="G213" s="42"/>
      <c r="H213" s="42"/>
      <c r="I213" s="4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0" customHeight="1">
      <c r="A214" s="1"/>
      <c r="B214" s="42"/>
      <c r="C214" s="42"/>
      <c r="D214" s="42"/>
      <c r="E214" s="42"/>
      <c r="F214" s="42"/>
      <c r="G214" s="42"/>
      <c r="H214" s="42"/>
      <c r="I214" s="4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0" customHeight="1">
      <c r="A215" s="1"/>
      <c r="B215" s="42"/>
      <c r="C215" s="42"/>
      <c r="D215" s="42"/>
      <c r="E215" s="42"/>
      <c r="F215" s="42"/>
      <c r="G215" s="42"/>
      <c r="H215" s="42"/>
      <c r="I215" s="4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0" customHeight="1">
      <c r="A216" s="1"/>
      <c r="B216" s="42"/>
      <c r="C216" s="42"/>
      <c r="D216" s="42"/>
      <c r="E216" s="42"/>
      <c r="F216" s="42"/>
      <c r="G216" s="42"/>
      <c r="H216" s="42"/>
      <c r="I216" s="4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0" customHeight="1">
      <c r="A217" s="1"/>
      <c r="B217" s="42"/>
      <c r="C217" s="42"/>
      <c r="D217" s="42"/>
      <c r="E217" s="42"/>
      <c r="F217" s="42"/>
      <c r="G217" s="42"/>
      <c r="H217" s="42"/>
      <c r="I217" s="4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0" customHeight="1">
      <c r="A218" s="1"/>
      <c r="B218" s="42"/>
      <c r="C218" s="42"/>
      <c r="D218" s="42"/>
      <c r="E218" s="42"/>
      <c r="F218" s="42"/>
      <c r="G218" s="42"/>
      <c r="H218" s="42"/>
      <c r="I218" s="4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0" customHeight="1">
      <c r="A219" s="1"/>
      <c r="B219" s="42"/>
      <c r="C219" s="42"/>
      <c r="D219" s="42"/>
      <c r="E219" s="42"/>
      <c r="F219" s="42"/>
      <c r="G219" s="42"/>
      <c r="H219" s="42"/>
      <c r="I219" s="4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0" customHeight="1">
      <c r="A220" s="1"/>
      <c r="B220" s="42"/>
      <c r="C220" s="42"/>
      <c r="D220" s="42"/>
      <c r="E220" s="42"/>
      <c r="F220" s="42"/>
      <c r="G220" s="42"/>
      <c r="H220" s="42"/>
      <c r="I220" s="4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0" customHeight="1">
      <c r="A221" s="1"/>
      <c r="B221" s="42"/>
      <c r="C221" s="42"/>
      <c r="D221" s="42"/>
      <c r="E221" s="42"/>
      <c r="F221" s="42"/>
      <c r="G221" s="42"/>
      <c r="H221" s="42"/>
      <c r="I221" s="4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0" customHeight="1">
      <c r="A222" s="1"/>
      <c r="B222" s="42"/>
      <c r="C222" s="42"/>
      <c r="D222" s="42"/>
      <c r="E222" s="42"/>
      <c r="F222" s="42"/>
      <c r="G222" s="42"/>
      <c r="H222" s="42"/>
      <c r="I222" s="4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0" customHeight="1">
      <c r="A223" s="1"/>
      <c r="B223" s="42"/>
      <c r="C223" s="42"/>
      <c r="D223" s="42"/>
      <c r="E223" s="42"/>
      <c r="F223" s="42"/>
      <c r="G223" s="42"/>
      <c r="H223" s="42"/>
      <c r="I223" s="4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0" customHeight="1">
      <c r="A224" s="1"/>
      <c r="B224" s="42"/>
      <c r="C224" s="42"/>
      <c r="D224" s="42"/>
      <c r="E224" s="42"/>
      <c r="F224" s="42"/>
      <c r="G224" s="42"/>
      <c r="H224" s="42"/>
      <c r="I224" s="4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0" customHeight="1">
      <c r="A225" s="1"/>
      <c r="B225" s="42"/>
      <c r="C225" s="42"/>
      <c r="D225" s="42"/>
      <c r="E225" s="42"/>
      <c r="F225" s="42"/>
      <c r="G225" s="42"/>
      <c r="H225" s="42"/>
      <c r="I225" s="4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0" customHeight="1">
      <c r="A226" s="1"/>
      <c r="B226" s="42"/>
      <c r="C226" s="42"/>
      <c r="D226" s="42"/>
      <c r="E226" s="42"/>
      <c r="F226" s="42"/>
      <c r="G226" s="42"/>
      <c r="H226" s="42"/>
      <c r="I226" s="4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0" customHeight="1">
      <c r="A227" s="1"/>
      <c r="B227" s="42"/>
      <c r="C227" s="42"/>
      <c r="D227" s="42"/>
      <c r="E227" s="42"/>
      <c r="F227" s="42"/>
      <c r="G227" s="42"/>
      <c r="H227" s="42"/>
      <c r="I227" s="4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0" customHeight="1">
      <c r="A228" s="1"/>
      <c r="B228" s="42"/>
      <c r="C228" s="42"/>
      <c r="D228" s="42"/>
      <c r="E228" s="42"/>
      <c r="F228" s="42"/>
      <c r="G228" s="42"/>
      <c r="H228" s="42"/>
      <c r="I228" s="4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0" customHeight="1">
      <c r="A229" s="1"/>
      <c r="B229" s="42"/>
      <c r="C229" s="42"/>
      <c r="D229" s="42"/>
      <c r="E229" s="42"/>
      <c r="F229" s="42"/>
      <c r="G229" s="42"/>
      <c r="H229" s="42"/>
      <c r="I229" s="4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0" customHeight="1">
      <c r="A230" s="1"/>
      <c r="B230" s="42"/>
      <c r="C230" s="42"/>
      <c r="D230" s="42"/>
      <c r="E230" s="42"/>
      <c r="F230" s="42"/>
      <c r="G230" s="42"/>
      <c r="H230" s="42"/>
      <c r="I230" s="4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0" customHeight="1">
      <c r="A231" s="1"/>
      <c r="B231" s="42"/>
      <c r="C231" s="42"/>
      <c r="D231" s="42"/>
      <c r="E231" s="42"/>
      <c r="F231" s="42"/>
      <c r="G231" s="42"/>
      <c r="H231" s="42"/>
      <c r="I231" s="4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0" customHeight="1">
      <c r="A232" s="1"/>
      <c r="B232" s="42"/>
      <c r="C232" s="42"/>
      <c r="D232" s="42"/>
      <c r="E232" s="42"/>
      <c r="F232" s="42"/>
      <c r="G232" s="42"/>
      <c r="H232" s="42"/>
      <c r="I232" s="4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0" customHeight="1">
      <c r="A233" s="1"/>
      <c r="B233" s="42"/>
      <c r="C233" s="42"/>
      <c r="D233" s="42"/>
      <c r="E233" s="42"/>
      <c r="F233" s="42"/>
      <c r="G233" s="42"/>
      <c r="H233" s="42"/>
      <c r="I233" s="4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0" customHeight="1">
      <c r="A234" s="1"/>
      <c r="B234" s="42"/>
      <c r="C234" s="42"/>
      <c r="D234" s="42"/>
      <c r="E234" s="42"/>
      <c r="F234" s="42"/>
      <c r="G234" s="42"/>
      <c r="H234" s="42"/>
      <c r="I234" s="4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0" customHeight="1">
      <c r="A235" s="1"/>
      <c r="B235" s="42"/>
      <c r="C235" s="42"/>
      <c r="D235" s="42"/>
      <c r="E235" s="42"/>
      <c r="F235" s="42"/>
      <c r="G235" s="42"/>
      <c r="H235" s="42"/>
      <c r="I235" s="4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0" customHeight="1">
      <c r="A236" s="1"/>
      <c r="B236" s="42"/>
      <c r="C236" s="42"/>
      <c r="D236" s="42"/>
      <c r="E236" s="42"/>
      <c r="F236" s="42"/>
      <c r="G236" s="42"/>
      <c r="H236" s="42"/>
      <c r="I236" s="4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0" customHeight="1">
      <c r="A237" s="1"/>
      <c r="B237" s="42"/>
      <c r="C237" s="42"/>
      <c r="D237" s="42"/>
      <c r="E237" s="42"/>
      <c r="F237" s="42"/>
      <c r="G237" s="42"/>
      <c r="H237" s="42"/>
      <c r="I237" s="4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0" customHeight="1">
      <c r="A238" s="1"/>
      <c r="B238" s="42"/>
      <c r="C238" s="42"/>
      <c r="D238" s="42"/>
      <c r="E238" s="42"/>
      <c r="F238" s="42"/>
      <c r="G238" s="42"/>
      <c r="H238" s="42"/>
      <c r="I238" s="4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0" customHeight="1">
      <c r="A239" s="1"/>
      <c r="B239" s="42"/>
      <c r="C239" s="42"/>
      <c r="D239" s="42"/>
      <c r="E239" s="42"/>
      <c r="F239" s="42"/>
      <c r="G239" s="42"/>
      <c r="H239" s="42"/>
      <c r="I239" s="4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0" customHeight="1">
      <c r="A240" s="1"/>
      <c r="B240" s="42"/>
      <c r="C240" s="42"/>
      <c r="D240" s="42"/>
      <c r="E240" s="42"/>
      <c r="F240" s="42"/>
      <c r="G240" s="42"/>
      <c r="H240" s="42"/>
      <c r="I240" s="4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7:I7"/>
    <mergeCell ref="F17:I17"/>
  </mergeCells>
  <dataValidations>
    <dataValidation type="list" allowBlank="1" showErrorMessage="1" sqref="C5">
      <formula1>Lists!N1:N5</formula1>
    </dataValidation>
    <dataValidation type="list" allowBlank="1" showErrorMessage="1" sqref="D22">
      <formula1>'Cogen Data'!$B$4:$B$14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9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29"/>
    <col customWidth="1" min="3" max="3" width="14.0"/>
    <col customWidth="1" min="4" max="4" width="14.14"/>
    <col customWidth="1" min="5" max="5" width="12.86"/>
    <col customWidth="1" min="6" max="7" width="11.0"/>
    <col customWidth="1" min="8" max="8" width="14.86"/>
    <col customWidth="1" min="10" max="26" width="10.86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45" t="s">
        <v>66</v>
      </c>
      <c r="C2" s="5"/>
      <c r="D2" s="5"/>
      <c r="E2" s="5"/>
      <c r="F2" s="5"/>
      <c r="G2" s="6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9" t="s">
        <v>67</v>
      </c>
      <c r="C3" s="5"/>
      <c r="D3" s="5"/>
      <c r="E3" s="5"/>
      <c r="F3" s="5"/>
      <c r="G3" s="6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4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 t="s">
        <v>68</v>
      </c>
      <c r="C6" s="5"/>
      <c r="D6" s="5"/>
      <c r="E6" s="5"/>
      <c r="F6" s="6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34" t="s">
        <v>69</v>
      </c>
      <c r="C8" s="64" t="s">
        <v>10</v>
      </c>
      <c r="D8" s="65" t="s">
        <v>70</v>
      </c>
      <c r="E8" s="65" t="s">
        <v>71</v>
      </c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/>
      <c r="B9" s="3" t="s">
        <v>72</v>
      </c>
      <c r="C9" s="66">
        <f>'Construction and Materials'!E10</f>
        <v>7396873.846</v>
      </c>
      <c r="D9" s="37">
        <f>'Construction and Materials'!E11+'Construction and Materials'!E13</f>
        <v>4010979.795</v>
      </c>
      <c r="E9" s="67">
        <f t="shared" ref="E9:E11" si="1">D9/C9</f>
        <v>0.5422533734</v>
      </c>
      <c r="F9" s="68">
        <v>1.0</v>
      </c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3" t="s">
        <v>6</v>
      </c>
      <c r="C10" s="66">
        <f>'Construction and Materials'!F10</f>
        <v>155969076.6</v>
      </c>
      <c r="D10" s="37">
        <f>'Construction and Materials'!F11+'Construction and Materials'!F13</f>
        <v>30756534.11</v>
      </c>
      <c r="E10" s="67">
        <f t="shared" si="1"/>
        <v>0.1971963595</v>
      </c>
      <c r="F10" s="68">
        <v>1.0</v>
      </c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3" t="s">
        <v>73</v>
      </c>
      <c r="C11" s="66">
        <f>'Construction and Materials'!G10</f>
        <v>271387397.3</v>
      </c>
      <c r="D11" s="37">
        <f>'Construction and Materials'!G11+'Construction and Materials'!G13</f>
        <v>46676815.88</v>
      </c>
      <c r="E11" s="67">
        <f t="shared" si="1"/>
        <v>0.1719933068</v>
      </c>
      <c r="F11" s="68">
        <v>1.0</v>
      </c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3" t="s">
        <v>74</v>
      </c>
      <c r="C12" s="69" t="s">
        <v>14</v>
      </c>
      <c r="D12" s="54">
        <f>'Construction and Materials'!H11+'Construction and Materials'!H13</f>
        <v>0.1423864987</v>
      </c>
      <c r="E12" s="8" t="s">
        <v>14</v>
      </c>
      <c r="F12" s="3"/>
      <c r="G12" s="3"/>
      <c r="H12" s="3"/>
      <c r="I12" s="3"/>
      <c r="J12" s="3"/>
      <c r="K12" s="3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4" t="s">
        <v>75</v>
      </c>
      <c r="C27" s="5"/>
      <c r="D27" s="5"/>
      <c r="E27" s="5"/>
      <c r="F27" s="63"/>
      <c r="G27" s="3"/>
      <c r="H27" s="3"/>
      <c r="I27" s="3"/>
      <c r="J27" s="3"/>
      <c r="K27" s="3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3"/>
      <c r="C29" s="70" t="s">
        <v>12</v>
      </c>
      <c r="D29" s="14"/>
      <c r="E29" s="15"/>
      <c r="F29" s="70" t="s">
        <v>76</v>
      </c>
      <c r="G29" s="14"/>
      <c r="H29" s="15"/>
      <c r="I29" s="65" t="s">
        <v>64</v>
      </c>
      <c r="J29" s="3"/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34" t="s">
        <v>69</v>
      </c>
      <c r="C30" s="71" t="s">
        <v>77</v>
      </c>
      <c r="D30" s="64" t="s">
        <v>78</v>
      </c>
      <c r="E30" s="72" t="s">
        <v>79</v>
      </c>
      <c r="F30" s="73" t="s">
        <v>80</v>
      </c>
      <c r="G30" s="74" t="s">
        <v>46</v>
      </c>
      <c r="H30" s="75" t="s">
        <v>53</v>
      </c>
      <c r="I30" s="65" t="s">
        <v>81</v>
      </c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3" t="s">
        <v>72</v>
      </c>
      <c r="C31" s="59">
        <f>Lists!S47</f>
        <v>3514655.857</v>
      </c>
      <c r="D31" s="66">
        <f>Lists!T47</f>
        <v>144763.8103</v>
      </c>
      <c r="E31" s="76">
        <f>Lists!U47</f>
        <v>348393.766</v>
      </c>
      <c r="F31" s="77">
        <f>('Use Phase'!F19+'Use Phase'!F20+'Use Phase'!F23+'Use Phase'!F27)*50</f>
        <v>0</v>
      </c>
      <c r="G31" s="78">
        <f>('Use Phase'!F25+'Use Phase'!F29)*50</f>
        <v>0</v>
      </c>
      <c r="H31" s="79">
        <f>('Use Phase'!F39+'Use Phase'!F40)*50</f>
        <v>0</v>
      </c>
      <c r="I31" s="37">
        <f>SUM(C31:H31)</f>
        <v>4007813.433</v>
      </c>
      <c r="J31" s="46">
        <f>I31-D9</f>
        <v>-3166.362375</v>
      </c>
      <c r="K31" s="3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80" t="s">
        <v>82</v>
      </c>
      <c r="C32" s="81">
        <f t="shared" ref="C32:I32" si="2">C31/$I$31</f>
        <v>0.8769509648</v>
      </c>
      <c r="D32" s="82">
        <f t="shared" si="2"/>
        <v>0.03612039649</v>
      </c>
      <c r="E32" s="83">
        <f t="shared" si="2"/>
        <v>0.08692863874</v>
      </c>
      <c r="F32" s="84">
        <f t="shared" si="2"/>
        <v>0</v>
      </c>
      <c r="G32" s="85">
        <f t="shared" si="2"/>
        <v>0</v>
      </c>
      <c r="H32" s="86">
        <f t="shared" si="2"/>
        <v>0</v>
      </c>
      <c r="I32" s="67">
        <f t="shared" si="2"/>
        <v>1</v>
      </c>
      <c r="J32" s="1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3" t="s">
        <v>6</v>
      </c>
      <c r="C33" s="59">
        <f>Lists!W47</f>
        <v>23508158.26</v>
      </c>
      <c r="D33" s="66">
        <f>Lists!X47</f>
        <v>2223532.315</v>
      </c>
      <c r="E33" s="76">
        <f>Lists!Y47</f>
        <v>4985215.769</v>
      </c>
      <c r="F33" s="77">
        <f>('Use Phase'!G19+'Use Phase'!G20+'Use Phase'!G23+'Use Phase'!G27)*50</f>
        <v>0</v>
      </c>
      <c r="G33" s="78">
        <f>('Use Phase'!G25+'Use Phase'!G29)*50</f>
        <v>0</v>
      </c>
      <c r="H33" s="79">
        <f>('Use Phase'!G39+'Use Phase'!G40)*50</f>
        <v>0</v>
      </c>
      <c r="I33" s="37">
        <f>SUM(C33:H33)</f>
        <v>30716906.34</v>
      </c>
      <c r="J33" s="46">
        <f>I33-D10</f>
        <v>-39627.77128</v>
      </c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80" t="s">
        <v>82</v>
      </c>
      <c r="C34" s="81">
        <f t="shared" ref="C34:I34" si="3">C33/$I$33</f>
        <v>0.7653165979</v>
      </c>
      <c r="D34" s="82">
        <f t="shared" si="3"/>
        <v>0.07238789903</v>
      </c>
      <c r="E34" s="83">
        <f t="shared" si="3"/>
        <v>0.1622955031</v>
      </c>
      <c r="F34" s="84">
        <f t="shared" si="3"/>
        <v>0</v>
      </c>
      <c r="G34" s="85">
        <f t="shared" si="3"/>
        <v>0</v>
      </c>
      <c r="H34" s="86">
        <f t="shared" si="3"/>
        <v>0</v>
      </c>
      <c r="I34" s="67">
        <f t="shared" si="3"/>
        <v>1</v>
      </c>
      <c r="J34" s="1"/>
      <c r="K34" s="3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3" t="s">
        <v>73</v>
      </c>
      <c r="C35" s="59">
        <f>Lists!AA47</f>
        <v>40852762.37</v>
      </c>
      <c r="D35" s="66">
        <f>Lists!AB47</f>
        <v>515807.9087</v>
      </c>
      <c r="E35" s="76">
        <f>Lists!AC47</f>
        <v>5284328.715</v>
      </c>
      <c r="F35" s="77">
        <f>('Use Phase'!H19+'Use Phase'!H20+'Use Phase'!H23+'Use Phase'!H27)*50</f>
        <v>0</v>
      </c>
      <c r="G35" s="78">
        <f>('Use Phase'!H25+'Use Phase'!H29)*50</f>
        <v>0</v>
      </c>
      <c r="H35" s="79">
        <f>('Use Phase'!H39+'Use Phase'!H40)*50</f>
        <v>0</v>
      </c>
      <c r="I35" s="37">
        <f>SUM(C35:H35)</f>
        <v>46652898.99</v>
      </c>
      <c r="J35" s="46">
        <f>I35-D11</f>
        <v>-23916.88881</v>
      </c>
      <c r="K35" s="3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80" t="s">
        <v>82</v>
      </c>
      <c r="C36" s="81">
        <f t="shared" ref="C36:I36" si="4">C35/$I$35</f>
        <v>0.8756746794</v>
      </c>
      <c r="D36" s="82">
        <f t="shared" si="4"/>
        <v>0.01105628846</v>
      </c>
      <c r="E36" s="83">
        <f t="shared" si="4"/>
        <v>0.1132690321</v>
      </c>
      <c r="F36" s="84">
        <f t="shared" si="4"/>
        <v>0</v>
      </c>
      <c r="G36" s="85">
        <f t="shared" si="4"/>
        <v>0</v>
      </c>
      <c r="H36" s="86">
        <f t="shared" si="4"/>
        <v>0</v>
      </c>
      <c r="I36" s="67">
        <f t="shared" si="4"/>
        <v>1</v>
      </c>
      <c r="J36" s="1"/>
      <c r="K36" s="3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3" t="s">
        <v>74</v>
      </c>
      <c r="C37" s="60">
        <f>Lists!AE47</f>
        <v>0.1191697603</v>
      </c>
      <c r="D37" s="87">
        <f>Lists!AF47</f>
        <v>0.02295355371</v>
      </c>
      <c r="E37" s="88">
        <f>Lists!AG47</f>
        <v>0.00001449223293</v>
      </c>
      <c r="F37" s="89">
        <f>('Use Phase'!I19+'Use Phase'!I20+'Use Phase'!I23+'Use Phase'!I27)*50</f>
        <v>0</v>
      </c>
      <c r="G37" s="90">
        <f>('Use Phase'!I25+'Use Phase'!I29)*50</f>
        <v>0</v>
      </c>
      <c r="H37" s="91">
        <f>('Use Phase'!I39+'Use Phase'!I40)*50</f>
        <v>0</v>
      </c>
      <c r="I37" s="54">
        <f>SUM(C37:H37)</f>
        <v>0.1421378063</v>
      </c>
      <c r="J37" s="92">
        <f>I37-D12</f>
        <v>-0.0002486924222</v>
      </c>
      <c r="K37" s="3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80" t="s">
        <v>82</v>
      </c>
      <c r="C38" s="81">
        <f t="shared" ref="C38:I38" si="5">C37/$I$37</f>
        <v>0.8384100153</v>
      </c>
      <c r="D38" s="82">
        <f t="shared" si="5"/>
        <v>0.1614880257</v>
      </c>
      <c r="E38" s="83">
        <f t="shared" si="5"/>
        <v>0.0001019590305</v>
      </c>
      <c r="F38" s="84">
        <f t="shared" si="5"/>
        <v>0</v>
      </c>
      <c r="G38" s="85">
        <f t="shared" si="5"/>
        <v>0</v>
      </c>
      <c r="H38" s="86">
        <f t="shared" si="5"/>
        <v>0</v>
      </c>
      <c r="I38" s="67">
        <f t="shared" si="5"/>
        <v>1</v>
      </c>
      <c r="J38" s="3"/>
      <c r="K38" s="3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9" t="s">
        <v>83</v>
      </c>
      <c r="C41" s="5"/>
      <c r="D41" s="93">
        <f>SUM(C31:E31)</f>
        <v>4007813.433</v>
      </c>
      <c r="E41" s="94">
        <f>SUM(C32:E32)</f>
        <v>1</v>
      </c>
      <c r="F41" s="1"/>
      <c r="G41" s="1"/>
      <c r="H41" s="9" t="s">
        <v>84</v>
      </c>
      <c r="I41" s="5"/>
      <c r="J41" s="5"/>
      <c r="K41" s="95"/>
      <c r="L41" s="6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9" t="s">
        <v>85</v>
      </c>
      <c r="C61" s="5"/>
      <c r="D61" s="93">
        <f>SUM(C33:E33)</f>
        <v>30716906.34</v>
      </c>
      <c r="E61" s="94">
        <f>SUM(C34:E34)</f>
        <v>1</v>
      </c>
      <c r="F61" s="1"/>
      <c r="G61" s="1"/>
      <c r="H61" s="9" t="s">
        <v>86</v>
      </c>
      <c r="I61" s="5"/>
      <c r="J61" s="5"/>
      <c r="K61" s="3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9" t="s">
        <v>87</v>
      </c>
      <c r="C81" s="5"/>
      <c r="D81" s="93">
        <f>SUM(C35:E35)</f>
        <v>46652898.99</v>
      </c>
      <c r="E81" s="94">
        <f>SUM(C36:E36)</f>
        <v>1</v>
      </c>
      <c r="F81" s="1"/>
      <c r="G81" s="1"/>
      <c r="H81" s="9" t="s">
        <v>88</v>
      </c>
      <c r="I81" s="5"/>
      <c r="J81" s="5"/>
      <c r="K81" s="3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9" t="s">
        <v>89</v>
      </c>
      <c r="C101" s="5"/>
      <c r="D101" s="96">
        <f>SUM(C37:E37)</f>
        <v>0.1421378063</v>
      </c>
      <c r="E101" s="94">
        <f>SUM(C38:E38)</f>
        <v>1</v>
      </c>
      <c r="F101" s="1"/>
      <c r="G101" s="1"/>
      <c r="H101" s="9" t="s">
        <v>90</v>
      </c>
      <c r="I101" s="5"/>
      <c r="J101" s="5"/>
      <c r="K101" s="3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 t="s">
        <v>25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4" t="s">
        <v>91</v>
      </c>
      <c r="C122" s="5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5" t="s">
        <v>92</v>
      </c>
      <c r="C154" s="93">
        <f>Lists!CJ49/1000</f>
        <v>0</v>
      </c>
      <c r="D154" s="5" t="s">
        <v>93</v>
      </c>
      <c r="E154" s="1"/>
      <c r="F154" s="5" t="s">
        <v>94</v>
      </c>
      <c r="G154" s="97">
        <f>Lists!CK51</f>
        <v>0</v>
      </c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9:E29"/>
    <mergeCell ref="F29:H29"/>
  </mergeCells>
  <conditionalFormatting sqref="E9:E11">
    <cfRule type="cellIs" dxfId="0" priority="1" operator="greaterThan">
      <formula>1</formula>
    </cfRule>
  </conditionalFormatting>
  <conditionalFormatting sqref="J30:J38">
    <cfRule type="cellIs" dxfId="0" priority="2" operator="greaterThan">
      <formula>0</formula>
    </cfRule>
  </conditionalFormatting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2.0" customHeight="1"/>
    <row r="2" ht="12.0" customHeight="1">
      <c r="B2" s="98">
        <v>1.0</v>
      </c>
      <c r="C2" s="98">
        <v>2.0</v>
      </c>
      <c r="D2" s="98">
        <v>3.0</v>
      </c>
      <c r="E2" s="98">
        <v>4.0</v>
      </c>
      <c r="F2" s="98">
        <v>5.0</v>
      </c>
      <c r="G2" s="98">
        <v>6.0</v>
      </c>
      <c r="H2" s="98">
        <v>7.0</v>
      </c>
      <c r="I2" s="98">
        <v>8.0</v>
      </c>
      <c r="J2" s="98">
        <v>9.0</v>
      </c>
      <c r="K2" s="98"/>
      <c r="L2" s="98"/>
    </row>
    <row r="3" ht="12.0" customHeight="1"/>
    <row r="4" ht="12.0" customHeight="1">
      <c r="B4" s="98" t="s">
        <v>44</v>
      </c>
      <c r="C4" s="98" t="s">
        <v>95</v>
      </c>
      <c r="D4" s="98" t="s">
        <v>96</v>
      </c>
      <c r="E4" s="98" t="s">
        <v>97</v>
      </c>
      <c r="F4" s="98" t="s">
        <v>47</v>
      </c>
      <c r="G4" s="98" t="s">
        <v>98</v>
      </c>
      <c r="H4" s="98" t="s">
        <v>99</v>
      </c>
      <c r="I4" s="98" t="s">
        <v>100</v>
      </c>
      <c r="J4" s="98" t="s">
        <v>101</v>
      </c>
      <c r="K4" s="98"/>
      <c r="L4" s="98" t="s">
        <v>102</v>
      </c>
    </row>
    <row r="5" ht="12.0" customHeight="1">
      <c r="B5" s="98" t="s">
        <v>103</v>
      </c>
      <c r="C5" s="98" t="s">
        <v>104</v>
      </c>
      <c r="D5" s="98" t="s">
        <v>14</v>
      </c>
      <c r="E5" s="99">
        <v>0.1277</v>
      </c>
      <c r="F5" s="99">
        <v>26.000028</v>
      </c>
      <c r="G5" s="99">
        <v>0.0346</v>
      </c>
      <c r="H5" s="100">
        <v>1.6E-11</v>
      </c>
      <c r="I5" s="101">
        <v>15.0</v>
      </c>
      <c r="J5" s="98">
        <v>0.09279954780684598</v>
      </c>
      <c r="K5" s="98"/>
      <c r="L5" s="98" t="s">
        <v>105</v>
      </c>
    </row>
    <row r="6" ht="12.0" customHeight="1">
      <c r="B6" s="98" t="s">
        <v>106</v>
      </c>
      <c r="C6" s="98" t="s">
        <v>104</v>
      </c>
      <c r="D6" s="98" t="s">
        <v>14</v>
      </c>
      <c r="E6" s="99">
        <v>0.301</v>
      </c>
      <c r="F6" s="99">
        <v>28.135296000000004</v>
      </c>
      <c r="G6" s="99">
        <v>2.4</v>
      </c>
      <c r="H6" s="100">
        <v>9.02E-9</v>
      </c>
      <c r="I6" s="101">
        <v>30.0</v>
      </c>
      <c r="J6" s="98">
        <v>0.0984864281738393</v>
      </c>
      <c r="K6" s="98"/>
      <c r="L6" s="98" t="s">
        <v>107</v>
      </c>
    </row>
    <row r="7" ht="12.0" customHeight="1">
      <c r="B7" s="98" t="s">
        <v>108</v>
      </c>
      <c r="C7" s="98" t="s">
        <v>104</v>
      </c>
      <c r="D7" s="98" t="s">
        <v>14</v>
      </c>
      <c r="E7" s="99">
        <v>0.6876</v>
      </c>
      <c r="F7" s="99">
        <v>51.497640000000004</v>
      </c>
      <c r="G7" s="99">
        <v>0.0451</v>
      </c>
      <c r="H7" s="100">
        <v>9.960000000000001E-9</v>
      </c>
      <c r="I7" s="101">
        <v>43.83561643835616</v>
      </c>
      <c r="J7" s="98">
        <v>0.06772557527964802</v>
      </c>
      <c r="K7" s="98"/>
      <c r="L7" s="98" t="s">
        <v>109</v>
      </c>
    </row>
    <row r="8" ht="12.0" customHeight="1">
      <c r="B8" s="98" t="s">
        <v>110</v>
      </c>
      <c r="C8" s="98" t="s">
        <v>111</v>
      </c>
      <c r="D8" s="98">
        <v>832.0</v>
      </c>
      <c r="E8" s="99">
        <v>0.5394110576923077</v>
      </c>
      <c r="F8" s="99">
        <v>53.25322763942309</v>
      </c>
      <c r="G8" s="99">
        <v>0.06784666021368807</v>
      </c>
      <c r="H8" s="100">
        <v>1.5504807692307693E-10</v>
      </c>
      <c r="I8" s="101">
        <v>43.0</v>
      </c>
      <c r="J8" s="98">
        <v>0.06949195478757779</v>
      </c>
      <c r="K8" s="98"/>
      <c r="L8" s="98" t="s">
        <v>112</v>
      </c>
    </row>
    <row r="9" ht="12.0" customHeight="1">
      <c r="B9" s="98" t="s">
        <v>113</v>
      </c>
      <c r="C9" s="98" t="s">
        <v>104</v>
      </c>
      <c r="D9" s="98" t="s">
        <v>14</v>
      </c>
      <c r="E9" s="99">
        <v>0.4267</v>
      </c>
      <c r="F9" s="99">
        <v>52.075418400000004</v>
      </c>
      <c r="G9" s="99">
        <v>4.2</v>
      </c>
      <c r="H9" s="100">
        <v>4.5E-7</v>
      </c>
      <c r="I9" s="101">
        <v>39.466</v>
      </c>
      <c r="J9" s="98">
        <v>0.078</v>
      </c>
      <c r="K9" s="98"/>
      <c r="L9" s="98" t="s">
        <v>114</v>
      </c>
    </row>
    <row r="10" ht="12.0" customHeight="1">
      <c r="B10" s="98" t="s">
        <v>115</v>
      </c>
      <c r="C10" s="98" t="s">
        <v>104</v>
      </c>
      <c r="D10" s="98" t="s">
        <v>14</v>
      </c>
      <c r="E10" s="99">
        <v>1.897</v>
      </c>
      <c r="F10" s="99">
        <v>18.924336</v>
      </c>
      <c r="G10" s="99">
        <v>26.9</v>
      </c>
      <c r="H10" s="100">
        <v>1.7099999999999998E-7</v>
      </c>
      <c r="I10" s="101">
        <v>29.62025316455696</v>
      </c>
      <c r="J10" s="98">
        <v>0.072</v>
      </c>
      <c r="K10" s="98"/>
      <c r="L10" s="98" t="s">
        <v>116</v>
      </c>
    </row>
    <row r="11" ht="12.0" customHeight="1">
      <c r="B11" s="98" t="s">
        <v>117</v>
      </c>
      <c r="C11" s="98" t="s">
        <v>111</v>
      </c>
      <c r="D11" s="98">
        <v>0.668</v>
      </c>
      <c r="E11" s="99">
        <v>0.5691616766467066</v>
      </c>
      <c r="F11" s="99">
        <v>63.91764431137725</v>
      </c>
      <c r="G11" s="99">
        <v>0.4730538922155688</v>
      </c>
      <c r="H11" s="100">
        <v>3.07E-7</v>
      </c>
      <c r="I11" s="101">
        <v>47.141</v>
      </c>
      <c r="J11" s="98">
        <v>0.050406439616531934</v>
      </c>
      <c r="K11" s="98"/>
      <c r="L11" s="98" t="s">
        <v>118</v>
      </c>
    </row>
    <row r="12" ht="12.0" customHeight="1">
      <c r="B12" s="98" t="s">
        <v>119</v>
      </c>
      <c r="C12" s="98" t="s">
        <v>104</v>
      </c>
      <c r="D12" s="98" t="s">
        <v>14</v>
      </c>
      <c r="E12" s="99">
        <v>0.696</v>
      </c>
      <c r="F12" s="99">
        <v>54.00972</v>
      </c>
      <c r="G12" s="99">
        <v>4.0</v>
      </c>
      <c r="H12" s="100">
        <v>7.459999999999999E-7</v>
      </c>
      <c r="I12" s="101">
        <v>46.3</v>
      </c>
      <c r="J12" s="98">
        <v>0.05988457356152085</v>
      </c>
      <c r="K12" s="98"/>
      <c r="L12" s="98" t="s">
        <v>120</v>
      </c>
    </row>
    <row r="13" ht="12.0" customHeight="1">
      <c r="B13" s="98" t="s">
        <v>121</v>
      </c>
      <c r="C13" s="98" t="s">
        <v>111</v>
      </c>
      <c r="D13" s="98">
        <v>0.93</v>
      </c>
      <c r="E13" s="99">
        <v>0.41634408602150536</v>
      </c>
      <c r="F13" s="99">
        <v>5.586901935483871</v>
      </c>
      <c r="G13" s="99">
        <v>1.5881720430107527</v>
      </c>
      <c r="H13" s="100">
        <v>4.741935483870968E-8</v>
      </c>
      <c r="I13" s="101">
        <v>21.6</v>
      </c>
      <c r="J13" s="98">
        <v>0.018518518518518517</v>
      </c>
      <c r="K13" s="98"/>
      <c r="L13" s="98"/>
    </row>
    <row r="14" ht="12.0" customHeight="1">
      <c r="B14" s="98" t="s">
        <v>122</v>
      </c>
      <c r="C14" s="98" t="s">
        <v>104</v>
      </c>
      <c r="D14" s="98" t="s">
        <v>14</v>
      </c>
      <c r="E14" s="99">
        <v>0.159</v>
      </c>
      <c r="F14" s="99">
        <v>1.967796</v>
      </c>
      <c r="G14" s="99">
        <v>1.0</v>
      </c>
      <c r="H14" s="100">
        <v>9.26E-9</v>
      </c>
      <c r="I14" s="101">
        <v>16.0</v>
      </c>
      <c r="J14" s="98">
        <v>0.10275</v>
      </c>
      <c r="K14" s="98"/>
      <c r="L14" s="98"/>
    </row>
    <row r="15" ht="12.0" customHeight="1"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</row>
    <row r="16" ht="12.0" customHeight="1">
      <c r="B16" s="98">
        <v>1.0</v>
      </c>
      <c r="C16" s="98">
        <v>2.0</v>
      </c>
      <c r="D16" s="98">
        <v>3.0</v>
      </c>
      <c r="E16" s="98">
        <v>4.0</v>
      </c>
      <c r="F16" s="98">
        <v>5.0</v>
      </c>
      <c r="G16" s="98">
        <v>6.0</v>
      </c>
      <c r="H16" s="98">
        <v>7.0</v>
      </c>
      <c r="I16" s="98">
        <v>8.0</v>
      </c>
      <c r="J16" s="98"/>
      <c r="K16" s="98"/>
      <c r="L16" s="98"/>
    </row>
    <row r="17" ht="12.0" customHeight="1"/>
    <row r="18" ht="12.0" customHeight="1">
      <c r="B18" s="98" t="s">
        <v>123</v>
      </c>
      <c r="C18" s="98" t="s">
        <v>124</v>
      </c>
      <c r="D18" s="98" t="s">
        <v>125</v>
      </c>
      <c r="E18" s="98" t="s">
        <v>126</v>
      </c>
      <c r="F18" s="98" t="s">
        <v>127</v>
      </c>
      <c r="G18" s="98" t="s">
        <v>128</v>
      </c>
      <c r="H18" s="98" t="s">
        <v>129</v>
      </c>
      <c r="I18" s="98" t="s">
        <v>130</v>
      </c>
    </row>
    <row r="19" ht="12.0" customHeight="1">
      <c r="B19" s="98" t="s">
        <v>131</v>
      </c>
      <c r="C19" s="102">
        <v>0.25</v>
      </c>
      <c r="D19" s="102">
        <v>0.5</v>
      </c>
      <c r="E19" s="102">
        <v>0.0</v>
      </c>
      <c r="F19" s="102">
        <v>0.75</v>
      </c>
      <c r="G19" s="102">
        <v>0.3333333333333333</v>
      </c>
      <c r="H19" s="102">
        <v>0.6666666666666666</v>
      </c>
      <c r="I19" s="102">
        <v>0.0</v>
      </c>
    </row>
    <row r="20" ht="12.0" customHeight="1">
      <c r="B20" s="98" t="s">
        <v>132</v>
      </c>
      <c r="C20" s="102">
        <v>0.3</v>
      </c>
      <c r="D20" s="102">
        <v>0.3</v>
      </c>
      <c r="E20" s="102">
        <v>0.2</v>
      </c>
      <c r="F20" s="102">
        <v>0.8</v>
      </c>
      <c r="G20" s="102">
        <v>0.37499999999999994</v>
      </c>
      <c r="H20" s="102">
        <v>0.37499999999999994</v>
      </c>
      <c r="I20" s="102">
        <v>0.25</v>
      </c>
    </row>
    <row r="21" ht="12.0" customHeight="1">
      <c r="B21" s="98" t="s">
        <v>133</v>
      </c>
      <c r="C21" s="102">
        <v>0.3</v>
      </c>
      <c r="D21" s="102">
        <v>0.45</v>
      </c>
      <c r="E21" s="102">
        <v>0.0</v>
      </c>
      <c r="F21" s="102">
        <v>0.75</v>
      </c>
      <c r="G21" s="102">
        <v>0.39999999999999997</v>
      </c>
      <c r="H21" s="102">
        <v>0.6</v>
      </c>
      <c r="I21" s="102">
        <v>0.0</v>
      </c>
    </row>
    <row r="22" ht="12.0" customHeight="1">
      <c r="B22" s="98" t="s">
        <v>134</v>
      </c>
      <c r="C22" s="102">
        <v>0.3</v>
      </c>
      <c r="D22" s="102">
        <v>0.4</v>
      </c>
      <c r="E22" s="102">
        <v>0.0</v>
      </c>
      <c r="F22" s="102">
        <v>0.7</v>
      </c>
      <c r="G22" s="102">
        <v>0.4285714285714286</v>
      </c>
      <c r="H22" s="102">
        <v>0.5714285714285715</v>
      </c>
      <c r="I22" s="102">
        <v>0.0</v>
      </c>
    </row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29"/>
    <col customWidth="1" min="3" max="3" width="47.43"/>
    <col customWidth="1" min="4" max="4" width="13.14"/>
    <col customWidth="1" min="5" max="5" width="10.43"/>
    <col customWidth="1" min="6" max="6" width="9.0"/>
    <col customWidth="1" min="8" max="8" width="13.14"/>
    <col customWidth="1" min="9" max="9" width="10.43"/>
    <col customWidth="1" min="10" max="10" width="12.29"/>
    <col customWidth="1" min="12" max="12" width="14.14"/>
    <col customWidth="1" min="13" max="13" width="10.43"/>
    <col customWidth="1" min="14" max="14" width="9.0"/>
    <col customWidth="1" min="16" max="16" width="13.0"/>
    <col customWidth="1" min="17" max="17" width="10.43"/>
    <col customWidth="1" min="18" max="18" width="9.0"/>
    <col customWidth="1" min="20" max="26" width="10.86"/>
  </cols>
  <sheetData>
    <row r="1" ht="12.0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0" customHeight="1">
      <c r="A2" s="42"/>
      <c r="B2" s="103" t="s">
        <v>135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0" customHeight="1">
      <c r="A3" s="42"/>
      <c r="B3" s="104"/>
      <c r="C3" s="42"/>
      <c r="D3" s="42"/>
      <c r="E3" s="42"/>
      <c r="F3" s="42"/>
      <c r="G3" s="42"/>
      <c r="H3" s="42">
        <f>0.0189*2400*(375/2400)</f>
        <v>7.0875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0" customHeight="1">
      <c r="A4" s="42"/>
      <c r="B4" s="104" t="s">
        <v>136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0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0" customHeight="1">
      <c r="A6" s="42"/>
      <c r="B6" s="3"/>
      <c r="C6" s="3"/>
      <c r="D6" s="105" t="s">
        <v>12</v>
      </c>
      <c r="E6" s="14"/>
      <c r="F6" s="14"/>
      <c r="G6" s="15"/>
      <c r="H6" s="105" t="s">
        <v>77</v>
      </c>
      <c r="I6" s="14"/>
      <c r="J6" s="14"/>
      <c r="K6" s="15"/>
      <c r="L6" s="105" t="s">
        <v>78</v>
      </c>
      <c r="M6" s="14"/>
      <c r="N6" s="14"/>
      <c r="O6" s="15"/>
      <c r="P6" s="105" t="s">
        <v>79</v>
      </c>
      <c r="Q6" s="14"/>
      <c r="R6" s="14"/>
      <c r="S6" s="15"/>
      <c r="T6" s="65" t="s">
        <v>137</v>
      </c>
      <c r="U6" s="42"/>
      <c r="V6" s="42"/>
      <c r="W6" s="42"/>
      <c r="X6" s="42"/>
      <c r="Y6" s="42"/>
      <c r="Z6" s="42"/>
    </row>
    <row r="7" ht="12.0" customHeight="1">
      <c r="A7" s="42"/>
      <c r="B7" s="3" t="s">
        <v>17</v>
      </c>
      <c r="C7" s="3" t="s">
        <v>18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5</v>
      </c>
      <c r="I7" s="8" t="s">
        <v>6</v>
      </c>
      <c r="J7" s="8" t="s">
        <v>7</v>
      </c>
      <c r="K7" s="8" t="s">
        <v>8</v>
      </c>
      <c r="L7" s="8" t="s">
        <v>5</v>
      </c>
      <c r="M7" s="8" t="s">
        <v>6</v>
      </c>
      <c r="N7" s="8" t="s">
        <v>7</v>
      </c>
      <c r="O7" s="8" t="s">
        <v>8</v>
      </c>
      <c r="P7" s="8" t="s">
        <v>5</v>
      </c>
      <c r="Q7" s="8" t="s">
        <v>6</v>
      </c>
      <c r="R7" s="8" t="s">
        <v>7</v>
      </c>
      <c r="S7" s="8" t="s">
        <v>8</v>
      </c>
      <c r="T7" s="8" t="s">
        <v>138</v>
      </c>
      <c r="U7" s="42"/>
      <c r="V7" s="42" t="s">
        <v>139</v>
      </c>
      <c r="W7" s="42"/>
      <c r="X7" s="42"/>
      <c r="Y7" s="42"/>
      <c r="Z7" s="42"/>
    </row>
    <row r="8" ht="12.0" customHeight="1">
      <c r="A8" s="42"/>
      <c r="B8" s="42" t="s">
        <v>31</v>
      </c>
      <c r="C8" s="42" t="s">
        <v>32</v>
      </c>
      <c r="D8" s="106">
        <f t="shared" ref="D8:G8" si="1">H8+L8+P8</f>
        <v>340.28857</v>
      </c>
      <c r="E8" s="106">
        <f t="shared" si="1"/>
        <v>2341.118302</v>
      </c>
      <c r="F8" s="106">
        <f t="shared" si="1"/>
        <v>3971.689263</v>
      </c>
      <c r="G8" s="107">
        <f t="shared" si="1"/>
        <v>0.00001337213533</v>
      </c>
      <c r="H8" s="108">
        <f>0.183+74.2+247</f>
        <v>321.383</v>
      </c>
      <c r="I8" s="108">
        <f>41.868*(0.0446+24.7+24.2)</f>
        <v>2049.212513</v>
      </c>
      <c r="J8" s="108">
        <f>1000*(0.000254+0.883+2.95)</f>
        <v>3833.254</v>
      </c>
      <c r="K8" s="109">
        <f>2.33*10^-12+3.08*10^-6+8.16*10^-6</f>
        <v>0.00001124000233</v>
      </c>
      <c r="L8" s="110">
        <f>12.3+0.00557+1.14</f>
        <v>13.44557</v>
      </c>
      <c r="M8" s="110">
        <f>41.868*(4.51+0.00205+0.42)</f>
        <v>206.4950694</v>
      </c>
      <c r="N8" s="110">
        <f>1000*(0.0438+1.99*10^-5+0.00408)</f>
        <v>47.8999</v>
      </c>
      <c r="O8" s="111">
        <f>1.95*10^-6+8.85*10^-10+1.81*10^-7</f>
        <v>0.000002131885</v>
      </c>
      <c r="P8" s="112">
        <f t="shared" ref="P8:P13" si="3">5.46</f>
        <v>5.46</v>
      </c>
      <c r="Q8" s="112">
        <f t="shared" ref="Q8:Q13" si="4">41.868*(2.04)</f>
        <v>85.41072</v>
      </c>
      <c r="R8" s="112">
        <f t="shared" ref="R8:R13" si="5">1.06*Q8</f>
        <v>90.5353632</v>
      </c>
      <c r="S8" s="113">
        <f t="shared" ref="S8:S13" si="6">2.48*10^-10</f>
        <v>0.000000000248</v>
      </c>
      <c r="T8" s="43">
        <v>1.0</v>
      </c>
      <c r="U8" s="42"/>
      <c r="V8" s="42" t="s">
        <v>140</v>
      </c>
      <c r="W8" s="42">
        <v>0.0185</v>
      </c>
      <c r="X8" s="42"/>
      <c r="Y8" s="42"/>
      <c r="Z8" s="42"/>
    </row>
    <row r="9" ht="12.0" customHeight="1">
      <c r="A9" s="42"/>
      <c r="B9" s="42" t="s">
        <v>31</v>
      </c>
      <c r="C9" s="42" t="s">
        <v>141</v>
      </c>
      <c r="D9" s="106">
        <f t="shared" ref="D9:G9" si="2">H9+L9+P9</f>
        <v>355.4101</v>
      </c>
      <c r="E9" s="106">
        <f t="shared" si="2"/>
        <v>2547.529636</v>
      </c>
      <c r="F9" s="106">
        <f t="shared" si="2"/>
        <v>4149.776163</v>
      </c>
      <c r="G9" s="107">
        <f t="shared" si="2"/>
        <v>0.00001401902268</v>
      </c>
      <c r="H9" s="108">
        <f>0.369+88.9+247</f>
        <v>336.269</v>
      </c>
      <c r="I9" s="108">
        <f>41.868*(0.0896+29.5+24.2)</f>
        <v>2252.062973</v>
      </c>
      <c r="J9" s="108">
        <f>1000*(0.000511+1.06+2.95)</f>
        <v>4010.511</v>
      </c>
      <c r="K9" s="109">
        <f>4.68*10^-12+3.69*10^-6+8.16*10^-6</f>
        <v>0.00001185000468</v>
      </c>
      <c r="L9" s="110">
        <f>12.3+0.0111+1.37</f>
        <v>13.6811</v>
      </c>
      <c r="M9" s="110">
        <f>41.868*(4.51+0.0041+0.503)</f>
        <v>210.0559428</v>
      </c>
      <c r="N9" s="110">
        <f>1000*(0.0438+3.98*10^-5+0.00489)</f>
        <v>48.7298</v>
      </c>
      <c r="O9" s="111">
        <f>1.95*10^-6+1.77*10^-9+2.17*10^-7</f>
        <v>0.00000216877</v>
      </c>
      <c r="P9" s="112">
        <f t="shared" si="3"/>
        <v>5.46</v>
      </c>
      <c r="Q9" s="112">
        <f t="shared" si="4"/>
        <v>85.41072</v>
      </c>
      <c r="R9" s="112">
        <f t="shared" si="5"/>
        <v>90.5353632</v>
      </c>
      <c r="S9" s="113">
        <f t="shared" si="6"/>
        <v>0.000000000248</v>
      </c>
      <c r="T9" s="43">
        <v>1.0</v>
      </c>
      <c r="U9" s="42"/>
      <c r="V9" s="42" t="s">
        <v>142</v>
      </c>
      <c r="W9" s="42">
        <f>0.00567*41.868</f>
        <v>0.23739156</v>
      </c>
      <c r="X9" s="42"/>
      <c r="Y9" s="42"/>
      <c r="Z9" s="42"/>
    </row>
    <row r="10" ht="12.0" customHeight="1">
      <c r="A10" s="42"/>
      <c r="B10" s="42" t="s">
        <v>31</v>
      </c>
      <c r="C10" s="42" t="s">
        <v>143</v>
      </c>
      <c r="D10" s="106">
        <f t="shared" ref="D10:G10" si="7">H10+L10+P10</f>
        <v>356.4021</v>
      </c>
      <c r="E10" s="106">
        <f t="shared" si="7"/>
        <v>2564.214871</v>
      </c>
      <c r="F10" s="106">
        <f t="shared" si="7"/>
        <v>4160.374963</v>
      </c>
      <c r="G10" s="107">
        <f t="shared" si="7"/>
        <v>0.00001405323736</v>
      </c>
      <c r="H10" s="108">
        <f>0.737+89.5+247</f>
        <v>337.237</v>
      </c>
      <c r="I10" s="108">
        <f>41.868*(0.179+29.8+24.2)</f>
        <v>2268.366372</v>
      </c>
      <c r="J10" s="108">
        <f>1000*(0.00102+1.07+2.95)</f>
        <v>4021.02</v>
      </c>
      <c r="K10" s="109">
        <f>9.36*10^-12+3.72*10^-6+8.16*10^-6</f>
        <v>0.00001188000936</v>
      </c>
      <c r="L10" s="110">
        <f>12.3+0.0251+1.38</f>
        <v>13.7051</v>
      </c>
      <c r="M10" s="110">
        <f>41.868*(4.51+0.00922+0.507)</f>
        <v>210.437779</v>
      </c>
      <c r="N10" s="110">
        <f>1000*(0.0438+8.96*10^-5+0.00493)</f>
        <v>48.8196</v>
      </c>
      <c r="O10" s="111">
        <f>1.95*10^-6+3.98*10^-9+2.19*10^-7</f>
        <v>0.00000217298</v>
      </c>
      <c r="P10" s="112">
        <f t="shared" si="3"/>
        <v>5.46</v>
      </c>
      <c r="Q10" s="112">
        <f t="shared" si="4"/>
        <v>85.41072</v>
      </c>
      <c r="R10" s="112">
        <f t="shared" si="5"/>
        <v>90.5353632</v>
      </c>
      <c r="S10" s="113">
        <f t="shared" si="6"/>
        <v>0.000000000248</v>
      </c>
      <c r="T10" s="43">
        <v>1.0</v>
      </c>
      <c r="U10" s="42"/>
      <c r="V10" s="42" t="s">
        <v>144</v>
      </c>
      <c r="W10" s="42">
        <f>0</f>
        <v>0</v>
      </c>
      <c r="X10" s="42"/>
      <c r="Y10" s="42"/>
      <c r="Z10" s="42"/>
    </row>
    <row r="11" ht="12.0" customHeight="1">
      <c r="A11" s="42"/>
      <c r="B11" s="42" t="s">
        <v>31</v>
      </c>
      <c r="C11" s="42" t="s">
        <v>145</v>
      </c>
      <c r="D11" s="106">
        <f t="shared" ref="D11:G11" si="8">H11+L11+P11</f>
        <v>89.06857</v>
      </c>
      <c r="E11" s="106">
        <f t="shared" si="8"/>
        <v>1453.516702</v>
      </c>
      <c r="F11" s="106">
        <f t="shared" si="8"/>
        <v>3187.289263</v>
      </c>
      <c r="G11" s="107">
        <f t="shared" si="8"/>
        <v>0.00000623833533</v>
      </c>
      <c r="H11" s="108">
        <f t="shared" ref="H11:K11" si="9">H8+H14</f>
        <v>70.163</v>
      </c>
      <c r="I11" s="108">
        <f t="shared" si="9"/>
        <v>1161.610913</v>
      </c>
      <c r="J11" s="108">
        <f t="shared" si="9"/>
        <v>3048.854</v>
      </c>
      <c r="K11" s="109">
        <f t="shared" si="9"/>
        <v>0.00000410620233</v>
      </c>
      <c r="L11" s="110">
        <f>12.3+0.00557+1.14</f>
        <v>13.44557</v>
      </c>
      <c r="M11" s="110">
        <f>41.868*(4.51+0.00205+0.42)</f>
        <v>206.4950694</v>
      </c>
      <c r="N11" s="110">
        <f>1000*(0.0438+1.99*10^-5+0.00408)</f>
        <v>47.8999</v>
      </c>
      <c r="O11" s="111">
        <f>1.95*10^-6+8.85*10^-10+1.81*10^-7</f>
        <v>0.000002131885</v>
      </c>
      <c r="P11" s="112">
        <f t="shared" si="3"/>
        <v>5.46</v>
      </c>
      <c r="Q11" s="112">
        <f t="shared" si="4"/>
        <v>85.41072</v>
      </c>
      <c r="R11" s="112">
        <f t="shared" si="5"/>
        <v>90.5353632</v>
      </c>
      <c r="S11" s="113">
        <f t="shared" si="6"/>
        <v>0.000000000248</v>
      </c>
      <c r="T11" s="43">
        <v>1.0</v>
      </c>
      <c r="U11" s="42"/>
      <c r="V11" s="42"/>
      <c r="W11" s="42"/>
      <c r="X11" s="42"/>
      <c r="Y11" s="42"/>
      <c r="Z11" s="42"/>
    </row>
    <row r="12" ht="12.0" customHeight="1">
      <c r="A12" s="42"/>
      <c r="B12" s="42" t="s">
        <v>31</v>
      </c>
      <c r="C12" s="42" t="s">
        <v>146</v>
      </c>
      <c r="D12" s="106">
        <f t="shared" ref="D12:G12" si="10">H12+L12+P12</f>
        <v>104.1901</v>
      </c>
      <c r="E12" s="106">
        <f t="shared" si="10"/>
        <v>1659.928036</v>
      </c>
      <c r="F12" s="106">
        <f t="shared" si="10"/>
        <v>3365.376163</v>
      </c>
      <c r="G12" s="107">
        <f t="shared" si="10"/>
        <v>0.00000688522268</v>
      </c>
      <c r="H12" s="108">
        <f t="shared" ref="H12:K12" si="11">H9+H14</f>
        <v>85.049</v>
      </c>
      <c r="I12" s="108">
        <f t="shared" si="11"/>
        <v>1364.461373</v>
      </c>
      <c r="J12" s="108">
        <f t="shared" si="11"/>
        <v>3226.111</v>
      </c>
      <c r="K12" s="109">
        <f t="shared" si="11"/>
        <v>0.00000471620468</v>
      </c>
      <c r="L12" s="110">
        <f>12.3+0.0111+1.37</f>
        <v>13.6811</v>
      </c>
      <c r="M12" s="110">
        <f>41.868*(4.51+0.0041+0.503)</f>
        <v>210.0559428</v>
      </c>
      <c r="N12" s="110">
        <f>1000*(0.0438+3.98*10^-5+0.00489)</f>
        <v>48.7298</v>
      </c>
      <c r="O12" s="111">
        <f>1.95*10^-6+1.77*10^-9+2.17*10^-7</f>
        <v>0.00000216877</v>
      </c>
      <c r="P12" s="112">
        <f t="shared" si="3"/>
        <v>5.46</v>
      </c>
      <c r="Q12" s="112">
        <f t="shared" si="4"/>
        <v>85.41072</v>
      </c>
      <c r="R12" s="112">
        <f t="shared" si="5"/>
        <v>90.5353632</v>
      </c>
      <c r="S12" s="113">
        <f t="shared" si="6"/>
        <v>0.000000000248</v>
      </c>
      <c r="T12" s="43">
        <v>1.0</v>
      </c>
      <c r="U12" s="42"/>
      <c r="V12" s="42"/>
      <c r="W12" s="42"/>
      <c r="X12" s="42"/>
      <c r="Y12" s="42"/>
      <c r="Z12" s="42"/>
    </row>
    <row r="13" ht="12.0" customHeight="1">
      <c r="A13" s="42"/>
      <c r="B13" s="42" t="s">
        <v>31</v>
      </c>
      <c r="C13" s="42" t="s">
        <v>147</v>
      </c>
      <c r="D13" s="106">
        <f t="shared" ref="D13:G13" si="12">H13+L13+P13</f>
        <v>105.1821</v>
      </c>
      <c r="E13" s="106">
        <f t="shared" si="12"/>
        <v>1676.613271</v>
      </c>
      <c r="F13" s="106">
        <f t="shared" si="12"/>
        <v>3375.974963</v>
      </c>
      <c r="G13" s="107">
        <f t="shared" si="12"/>
        <v>0.00000691943736</v>
      </c>
      <c r="H13" s="108">
        <f t="shared" ref="H13:K13" si="13">H10+H14</f>
        <v>86.017</v>
      </c>
      <c r="I13" s="108">
        <f t="shared" si="13"/>
        <v>1380.764772</v>
      </c>
      <c r="J13" s="108">
        <f t="shared" si="13"/>
        <v>3236.62</v>
      </c>
      <c r="K13" s="109">
        <f t="shared" si="13"/>
        <v>0.00000474620936</v>
      </c>
      <c r="L13" s="110">
        <f>12.3+0.0251+1.38</f>
        <v>13.7051</v>
      </c>
      <c r="M13" s="110">
        <f>41.868*(4.51+0.00922+0.507)</f>
        <v>210.437779</v>
      </c>
      <c r="N13" s="110">
        <f>1000*(0.0438+8.96*10^-5+0.00493)</f>
        <v>48.8196</v>
      </c>
      <c r="O13" s="111">
        <f>1.95*10^-6+3.98*10^-9+2.19*10^-7</f>
        <v>0.00000217298</v>
      </c>
      <c r="P13" s="112">
        <f t="shared" si="3"/>
        <v>5.46</v>
      </c>
      <c r="Q13" s="112">
        <f t="shared" si="4"/>
        <v>85.41072</v>
      </c>
      <c r="R13" s="112">
        <f t="shared" si="5"/>
        <v>90.5353632</v>
      </c>
      <c r="S13" s="113">
        <f t="shared" si="6"/>
        <v>0.000000000248</v>
      </c>
      <c r="T13" s="43">
        <v>1.0</v>
      </c>
      <c r="U13" s="42"/>
      <c r="V13" s="42"/>
      <c r="W13" s="42"/>
      <c r="X13" s="42"/>
      <c r="Y13" s="42"/>
      <c r="Z13" s="42"/>
    </row>
    <row r="14" ht="12.0" customHeight="1">
      <c r="A14" s="42"/>
      <c r="B14" s="42"/>
      <c r="C14" s="42" t="s">
        <v>148</v>
      </c>
      <c r="D14" s="106"/>
      <c r="E14" s="106"/>
      <c r="F14" s="106"/>
      <c r="G14" s="107"/>
      <c r="H14" s="114">
        <f>-1.06*237</f>
        <v>-251.22</v>
      </c>
      <c r="I14" s="114">
        <f>-1.06*20*41.868</f>
        <v>-887.6016</v>
      </c>
      <c r="J14" s="114">
        <f>-1.06*0.74*1000</f>
        <v>-784.4</v>
      </c>
      <c r="K14" s="115">
        <f>-1.06*6.73*10^-6</f>
        <v>-0.0000071338</v>
      </c>
      <c r="L14" s="110"/>
      <c r="M14" s="110"/>
      <c r="N14" s="110"/>
      <c r="O14" s="111"/>
      <c r="P14" s="112"/>
      <c r="Q14" s="112"/>
      <c r="R14" s="112"/>
      <c r="S14" s="113"/>
      <c r="T14" s="43"/>
      <c r="U14" s="42"/>
      <c r="V14" s="42"/>
      <c r="W14" s="42"/>
      <c r="X14" s="42"/>
      <c r="Y14" s="42"/>
      <c r="Z14" s="42"/>
    </row>
    <row r="15" ht="12.0" customHeight="1">
      <c r="A15" s="42"/>
      <c r="B15" s="42" t="s">
        <v>33</v>
      </c>
      <c r="C15" s="42" t="s">
        <v>34</v>
      </c>
      <c r="D15" s="106">
        <f t="shared" ref="D15:G15" si="14">H15+L15+P15</f>
        <v>13.85843</v>
      </c>
      <c r="E15" s="106">
        <f t="shared" si="14"/>
        <v>189.4243135</v>
      </c>
      <c r="F15" s="106">
        <f t="shared" si="14"/>
        <v>192.0118474</v>
      </c>
      <c r="G15" s="107">
        <f t="shared" si="14"/>
        <v>0.000000221867</v>
      </c>
      <c r="H15" s="108">
        <v>2.37</v>
      </c>
      <c r="I15" s="108">
        <f>41.868*0.667</f>
        <v>27.925956</v>
      </c>
      <c r="J15" s="108">
        <f>1000*0.0215</f>
        <v>21.5</v>
      </c>
      <c r="K15" s="109">
        <f>2.13*10^-7</f>
        <v>0.000000213</v>
      </c>
      <c r="L15" s="110">
        <v>0.0529</v>
      </c>
      <c r="M15" s="110">
        <f>41.868*0.0195</f>
        <v>0.816426</v>
      </c>
      <c r="N15" s="110">
        <f>1000*0.000189</f>
        <v>0.189</v>
      </c>
      <c r="O15" s="111">
        <f>8.4*10^-9</f>
        <v>0.0000000084</v>
      </c>
      <c r="P15" s="112">
        <v>11.43553</v>
      </c>
      <c r="Q15" s="112">
        <f t="shared" ref="Q15:Q16" si="16">41.868*3.837822</f>
        <v>160.6819315</v>
      </c>
      <c r="R15" s="112">
        <f t="shared" ref="R15:R16" si="17">1.06*Q15</f>
        <v>170.3228474</v>
      </c>
      <c r="S15" s="113">
        <f t="shared" ref="S15:S16" si="18">4.67*10^-10</f>
        <v>0.000000000467</v>
      </c>
      <c r="T15" s="43">
        <v>1.0</v>
      </c>
      <c r="U15" s="42"/>
      <c r="V15" s="42" t="s">
        <v>149</v>
      </c>
      <c r="W15" s="42">
        <f>6.9*10^-13</f>
        <v>0</v>
      </c>
      <c r="X15" s="42"/>
      <c r="Y15" s="42"/>
      <c r="Z15" s="42"/>
    </row>
    <row r="16" ht="12.0" customHeight="1">
      <c r="A16" s="42"/>
      <c r="B16" s="42" t="s">
        <v>33</v>
      </c>
      <c r="C16" s="42" t="s">
        <v>150</v>
      </c>
      <c r="D16" s="106">
        <f t="shared" ref="D16:G16" si="15">H16+L16+P16</f>
        <v>19.783322</v>
      </c>
      <c r="E16" s="106">
        <f t="shared" si="15"/>
        <v>284.9896145</v>
      </c>
      <c r="F16" s="106">
        <f t="shared" si="15"/>
        <v>246.8098474</v>
      </c>
      <c r="G16" s="107">
        <f t="shared" si="15"/>
        <v>0.000000691467</v>
      </c>
      <c r="H16" s="108">
        <v>7.520218</v>
      </c>
      <c r="I16" s="108">
        <f>41.868*2.664661</f>
        <v>111.5640267</v>
      </c>
      <c r="J16" s="108">
        <f>1000*0.073532</f>
        <v>73.532</v>
      </c>
      <c r="K16" s="109">
        <f>5.6*10^-7</f>
        <v>0.00000056</v>
      </c>
      <c r="L16" s="110">
        <f>0.827574</f>
        <v>0.827574</v>
      </c>
      <c r="M16" s="110">
        <f>41.868*0.304377</f>
        <v>12.74365624</v>
      </c>
      <c r="N16" s="110">
        <f>1000*0.002955</f>
        <v>2.955</v>
      </c>
      <c r="O16" s="111">
        <f>1.31*10^-7</f>
        <v>0.000000131</v>
      </c>
      <c r="P16" s="112">
        <v>11.43553</v>
      </c>
      <c r="Q16" s="112">
        <f t="shared" si="16"/>
        <v>160.6819315</v>
      </c>
      <c r="R16" s="112">
        <f t="shared" si="17"/>
        <v>170.3228474</v>
      </c>
      <c r="S16" s="113">
        <f t="shared" si="18"/>
        <v>0.000000000467</v>
      </c>
      <c r="T16" s="43">
        <v>1.0</v>
      </c>
      <c r="U16" s="42"/>
      <c r="V16" s="42"/>
      <c r="W16" s="42"/>
      <c r="X16" s="42"/>
      <c r="Y16" s="42"/>
      <c r="Z16" s="42"/>
    </row>
    <row r="17" ht="12.0" customHeight="1">
      <c r="A17" s="42"/>
      <c r="B17" s="42" t="s">
        <v>33</v>
      </c>
      <c r="C17" s="42" t="s">
        <v>151</v>
      </c>
      <c r="D17" s="106">
        <f t="shared" ref="D17:G17" si="19">H17+L17+P17</f>
        <v>14.71694725</v>
      </c>
      <c r="E17" s="106">
        <f t="shared" si="19"/>
        <v>213.5799257</v>
      </c>
      <c r="F17" s="106">
        <f t="shared" si="19"/>
        <v>20.55352502</v>
      </c>
      <c r="G17" s="107">
        <f t="shared" si="19"/>
        <v>0.0000004149990641</v>
      </c>
      <c r="H17" s="108">
        <v>3.0078444420083637</v>
      </c>
      <c r="I17" s="108">
        <v>48.685305863176644</v>
      </c>
      <c r="J17" s="108">
        <v>19.57654879602922</v>
      </c>
      <c r="K17" s="109">
        <v>3.711068858396892E-7</v>
      </c>
      <c r="L17" s="110">
        <v>0.2735729907447174</v>
      </c>
      <c r="M17" s="110">
        <v>4.212704867551557</v>
      </c>
      <c r="N17" s="110">
        <v>0.9769762199230785</v>
      </c>
      <c r="O17" s="111">
        <v>4.342553837594943E-8</v>
      </c>
      <c r="P17" s="112">
        <v>11.435529814813277</v>
      </c>
      <c r="Q17" s="112">
        <v>160.6819149489652</v>
      </c>
      <c r="R17" s="112">
        <v>0.0</v>
      </c>
      <c r="S17" s="113">
        <v>4.666398866629005E-10</v>
      </c>
      <c r="T17" s="43">
        <v>1.0</v>
      </c>
      <c r="U17" s="42"/>
      <c r="V17" s="42"/>
      <c r="W17" s="42"/>
      <c r="X17" s="42"/>
      <c r="Y17" s="42"/>
      <c r="Z17" s="42"/>
    </row>
    <row r="18" ht="12.0" customHeight="1">
      <c r="A18" s="42"/>
      <c r="B18" s="42" t="s">
        <v>33</v>
      </c>
      <c r="C18" s="42" t="s">
        <v>152</v>
      </c>
      <c r="D18" s="106">
        <f t="shared" ref="D18:G18" si="20">H18+L18+P18</f>
        <v>24.518761</v>
      </c>
      <c r="E18" s="106">
        <f t="shared" si="20"/>
        <v>307.27882</v>
      </c>
      <c r="F18" s="106">
        <f t="shared" si="20"/>
        <v>294.500404</v>
      </c>
      <c r="G18" s="107">
        <f t="shared" si="20"/>
        <v>0.000000975467</v>
      </c>
      <c r="H18" s="108">
        <v>11.18845</v>
      </c>
      <c r="I18" s="108">
        <v>117.4195</v>
      </c>
      <c r="J18" s="108">
        <v>117.411</v>
      </c>
      <c r="K18" s="109">
        <f>6.74*10^-7</f>
        <v>0.000000674</v>
      </c>
      <c r="L18" s="110">
        <v>1.894781</v>
      </c>
      <c r="M18" s="110">
        <v>29.17742</v>
      </c>
      <c r="N18" s="110">
        <v>6.76659</v>
      </c>
      <c r="O18" s="111">
        <f>3.01*10^-7</f>
        <v>0.000000301</v>
      </c>
      <c r="P18" s="112">
        <v>11.43553</v>
      </c>
      <c r="Q18" s="112">
        <v>160.6819</v>
      </c>
      <c r="R18" s="112">
        <f t="shared" ref="R18:R22" si="22">1.06*Q18</f>
        <v>170.322814</v>
      </c>
      <c r="S18" s="113">
        <f t="shared" ref="S18:S21" si="23">4.67*10^-10</f>
        <v>0.000000000467</v>
      </c>
      <c r="T18" s="43">
        <v>1.0</v>
      </c>
      <c r="U18" s="42"/>
      <c r="V18" s="42"/>
      <c r="W18" s="42"/>
      <c r="X18" s="42"/>
      <c r="Y18" s="42"/>
      <c r="Z18" s="42"/>
    </row>
    <row r="19" ht="12.0" customHeight="1">
      <c r="A19" s="42"/>
      <c r="B19" s="42" t="s">
        <v>33</v>
      </c>
      <c r="C19" s="42" t="s">
        <v>153</v>
      </c>
      <c r="D19" s="106">
        <f t="shared" ref="D19:G19" si="21">H19+L19+P19</f>
        <v>22.35494278</v>
      </c>
      <c r="E19" s="106">
        <f t="shared" si="21"/>
        <v>276.52233</v>
      </c>
      <c r="F19" s="106">
        <f t="shared" si="21"/>
        <v>281.524279</v>
      </c>
      <c r="G19" s="107">
        <f t="shared" si="21"/>
        <v>0.000000715027</v>
      </c>
      <c r="H19" s="108">
        <v>9.267051969</v>
      </c>
      <c r="I19" s="108">
        <f>90.396</f>
        <v>90.396</v>
      </c>
      <c r="J19" s="108">
        <f>105.3006</f>
        <v>105.3006</v>
      </c>
      <c r="K19" s="109">
        <f>4.52273*10^-7</f>
        <v>0.000000452273</v>
      </c>
      <c r="L19" s="110">
        <v>1.652360807</v>
      </c>
      <c r="M19" s="110">
        <v>25.44443</v>
      </c>
      <c r="N19" s="110">
        <f>5.900865</f>
        <v>5.900865</v>
      </c>
      <c r="O19" s="111">
        <f>2.62287*10^-7</f>
        <v>0.000000262287</v>
      </c>
      <c r="P19" s="112">
        <v>11.43553</v>
      </c>
      <c r="Q19" s="112">
        <v>160.6819</v>
      </c>
      <c r="R19" s="112">
        <f t="shared" si="22"/>
        <v>170.322814</v>
      </c>
      <c r="S19" s="113">
        <f t="shared" si="23"/>
        <v>0.000000000467</v>
      </c>
      <c r="T19" s="43">
        <v>1.0</v>
      </c>
      <c r="U19" s="42"/>
      <c r="V19" s="42"/>
      <c r="W19" s="42"/>
      <c r="X19" s="42"/>
      <c r="Y19" s="42"/>
      <c r="Z19" s="42"/>
    </row>
    <row r="20" ht="12.0" customHeight="1">
      <c r="A20" s="42"/>
      <c r="B20" s="42" t="s">
        <v>154</v>
      </c>
      <c r="C20" s="42" t="s">
        <v>155</v>
      </c>
      <c r="D20" s="106">
        <f t="shared" ref="D20:G20" si="24">H20+L20+P20</f>
        <v>21.78237641</v>
      </c>
      <c r="E20" s="106">
        <f t="shared" si="24"/>
        <v>284.576503</v>
      </c>
      <c r="F20" s="106">
        <f t="shared" si="24"/>
        <v>254.1336985</v>
      </c>
      <c r="G20" s="107">
        <f t="shared" si="24"/>
        <v>0.0000009083067</v>
      </c>
      <c r="H20" s="108">
        <v>10.1852327</v>
      </c>
      <c r="I20" s="108">
        <v>121.4059405</v>
      </c>
      <c r="J20" s="108">
        <v>83.23373417</v>
      </c>
      <c r="K20" s="109">
        <f>8.82186*10^-7</f>
        <v>0.000000882186</v>
      </c>
      <c r="L20" s="110">
        <v>0.161613705</v>
      </c>
      <c r="M20" s="110">
        <v>2.488662487</v>
      </c>
      <c r="N20" s="110">
        <v>0.577150346</v>
      </c>
      <c r="O20" s="111">
        <f>2.56537*10^-8</f>
        <v>0.0000000256537</v>
      </c>
      <c r="P20" s="112">
        <v>11.43553</v>
      </c>
      <c r="Q20" s="112">
        <v>160.6819</v>
      </c>
      <c r="R20" s="112">
        <f t="shared" si="22"/>
        <v>170.322814</v>
      </c>
      <c r="S20" s="113">
        <f t="shared" si="23"/>
        <v>0.000000000467</v>
      </c>
      <c r="T20" s="43">
        <v>1.0</v>
      </c>
      <c r="U20" s="42"/>
      <c r="V20" s="42"/>
      <c r="W20" s="42"/>
      <c r="X20" s="42"/>
      <c r="Y20" s="42"/>
      <c r="Z20" s="42"/>
    </row>
    <row r="21" ht="12.0" customHeight="1">
      <c r="A21" s="42"/>
      <c r="B21" s="42" t="s">
        <v>154</v>
      </c>
      <c r="C21" s="42" t="s">
        <v>156</v>
      </c>
      <c r="D21" s="106">
        <f t="shared" ref="D21:G21" si="25">H21+L21+P21</f>
        <v>19.08459098</v>
      </c>
      <c r="E21" s="106">
        <f t="shared" si="25"/>
        <v>252.3044047</v>
      </c>
      <c r="F21" s="106">
        <f t="shared" si="25"/>
        <v>230.0452904</v>
      </c>
      <c r="G21" s="107">
        <f t="shared" si="25"/>
        <v>0.000000663752</v>
      </c>
      <c r="H21" s="108">
        <v>7.54038998</v>
      </c>
      <c r="I21" s="108">
        <v>89.94909368</v>
      </c>
      <c r="J21" s="108">
        <v>59.33439238</v>
      </c>
      <c r="K21" s="109">
        <f>6.46085*10^-7</f>
        <v>0.000000646085</v>
      </c>
      <c r="L21" s="110">
        <v>0.108671</v>
      </c>
      <c r="M21" s="110">
        <v>1.673411</v>
      </c>
      <c r="N21" s="110">
        <v>0.388084</v>
      </c>
      <c r="O21" s="111">
        <f>1.72*10^-8</f>
        <v>0.0000000172</v>
      </c>
      <c r="P21" s="112">
        <v>11.43553</v>
      </c>
      <c r="Q21" s="112">
        <v>160.6819</v>
      </c>
      <c r="R21" s="112">
        <f t="shared" si="22"/>
        <v>170.322814</v>
      </c>
      <c r="S21" s="113">
        <f t="shared" si="23"/>
        <v>0.000000000467</v>
      </c>
      <c r="T21" s="43">
        <v>1.0</v>
      </c>
      <c r="U21" s="42"/>
      <c r="V21" s="42"/>
      <c r="W21" s="42"/>
      <c r="X21" s="42"/>
      <c r="Y21" s="42"/>
      <c r="Z21" s="42"/>
    </row>
    <row r="22" ht="12.0" customHeight="1">
      <c r="A22" s="42"/>
      <c r="B22" s="42" t="s">
        <v>154</v>
      </c>
      <c r="C22" s="42" t="s">
        <v>157</v>
      </c>
      <c r="D22" s="106">
        <f t="shared" ref="D22:G22" si="26">H22+L22+P22</f>
        <v>19.99070137</v>
      </c>
      <c r="E22" s="106">
        <f t="shared" si="26"/>
        <v>262.6461604</v>
      </c>
      <c r="F22" s="106">
        <f t="shared" si="26"/>
        <v>219.5375803</v>
      </c>
      <c r="G22" s="107">
        <f t="shared" si="26"/>
        <v>0.000001770305078</v>
      </c>
      <c r="H22" s="108">
        <v>19.78422592681162</v>
      </c>
      <c r="I22" s="108">
        <v>259.466679519091</v>
      </c>
      <c r="J22" s="108">
        <v>218.80022101177647</v>
      </c>
      <c r="K22" s="109">
        <v>1.737530252219071E-6</v>
      </c>
      <c r="L22" s="110">
        <v>0.2064754403849253</v>
      </c>
      <c r="M22" s="110">
        <v>3.179480874413716</v>
      </c>
      <c r="N22" s="110">
        <v>0.737359324251801</v>
      </c>
      <c r="O22" s="111">
        <v>3.277482587066081E-8</v>
      </c>
      <c r="P22" s="112">
        <v>0.0</v>
      </c>
      <c r="Q22" s="112">
        <v>0.0</v>
      </c>
      <c r="R22" s="112">
        <f t="shared" si="22"/>
        <v>0</v>
      </c>
      <c r="S22" s="113">
        <v>0.0</v>
      </c>
      <c r="T22" s="43">
        <v>1.0</v>
      </c>
      <c r="U22" s="42"/>
      <c r="V22" s="42"/>
      <c r="W22" s="42"/>
      <c r="X22" s="42"/>
      <c r="Y22" s="42"/>
      <c r="Z22" s="42"/>
    </row>
    <row r="23" ht="12.0" customHeight="1">
      <c r="A23" s="42"/>
      <c r="B23" s="42" t="s">
        <v>154</v>
      </c>
      <c r="C23" s="42" t="s">
        <v>158</v>
      </c>
      <c r="D23" s="106">
        <f t="shared" ref="D23:G23" si="27">H23+L23+P23</f>
        <v>26.18872309</v>
      </c>
      <c r="E23" s="106">
        <f t="shared" si="27"/>
        <v>306.7350738</v>
      </c>
      <c r="F23" s="106">
        <f t="shared" si="27"/>
        <v>118.4789605</v>
      </c>
      <c r="G23" s="107">
        <f t="shared" si="27"/>
        <v>0.0000009750514982</v>
      </c>
      <c r="H23" s="108">
        <v>12.88252942042792</v>
      </c>
      <c r="I23" s="108">
        <v>117.24711802923666</v>
      </c>
      <c r="J23" s="108">
        <v>111.79849798359758</v>
      </c>
      <c r="K23" s="109">
        <v>6.776455120757983E-7</v>
      </c>
      <c r="L23" s="110">
        <v>1.8706638543008411</v>
      </c>
      <c r="M23" s="110">
        <v>28.806040772303525</v>
      </c>
      <c r="N23" s="110">
        <v>6.680462476797639</v>
      </c>
      <c r="O23" s="111">
        <v>2.9693934626763543E-7</v>
      </c>
      <c r="P23" s="112">
        <v>11.435529814813282</v>
      </c>
      <c r="Q23" s="112">
        <v>160.68191494896513</v>
      </c>
      <c r="R23" s="112">
        <v>0.0</v>
      </c>
      <c r="S23" s="113">
        <v>4.666398866628999E-10</v>
      </c>
      <c r="T23" s="43">
        <v>1.0</v>
      </c>
      <c r="U23" s="42"/>
      <c r="V23" s="42"/>
      <c r="W23" s="42"/>
      <c r="X23" s="42"/>
      <c r="Y23" s="42"/>
      <c r="Z23" s="42"/>
    </row>
    <row r="24" ht="12.0" customHeight="1">
      <c r="A24" s="42"/>
      <c r="B24" s="42" t="s">
        <v>154</v>
      </c>
      <c r="C24" s="42" t="s">
        <v>159</v>
      </c>
      <c r="D24" s="106">
        <f t="shared" ref="D24:G24" si="28">H24+L24+P24</f>
        <v>6.010715698</v>
      </c>
      <c r="E24" s="106">
        <f t="shared" si="28"/>
        <v>79.64534952</v>
      </c>
      <c r="F24" s="106">
        <f t="shared" si="28"/>
        <v>6.575819014</v>
      </c>
      <c r="G24" s="107">
        <f t="shared" si="28"/>
        <v>0.00000006332692111</v>
      </c>
      <c r="H24" s="108">
        <v>0.5673970366801555</v>
      </c>
      <c r="I24" s="108">
        <v>2.8326573891973985</v>
      </c>
      <c r="J24" s="108">
        <v>5.706663433607564</v>
      </c>
      <c r="K24" s="109">
        <v>2.4481704377131866E-8</v>
      </c>
      <c r="L24" s="110">
        <v>0.24338104320358572</v>
      </c>
      <c r="M24" s="110">
        <v>3.7477841009725577</v>
      </c>
      <c r="N24" s="110">
        <v>0.8691555801128239</v>
      </c>
      <c r="O24" s="111">
        <v>3.863302732678546E-8</v>
      </c>
      <c r="P24" s="112">
        <v>5.199937618509013</v>
      </c>
      <c r="Q24" s="112">
        <v>73.0649080268112</v>
      </c>
      <c r="R24" s="112">
        <v>0.0</v>
      </c>
      <c r="S24" s="113">
        <v>2.1218940794609932E-10</v>
      </c>
      <c r="T24" s="43">
        <v>1.0</v>
      </c>
      <c r="U24" s="42"/>
      <c r="V24" s="42"/>
      <c r="W24" s="42"/>
      <c r="X24" s="42"/>
      <c r="Y24" s="42"/>
      <c r="Z24" s="42"/>
    </row>
    <row r="25" ht="12.0" customHeight="1">
      <c r="A25" s="42"/>
      <c r="B25" s="42" t="s">
        <v>154</v>
      </c>
      <c r="C25" s="42" t="s">
        <v>160</v>
      </c>
      <c r="D25" s="106">
        <f t="shared" ref="D25:G25" si="29">H25+L25+P25</f>
        <v>21.28715955</v>
      </c>
      <c r="E25" s="106">
        <f t="shared" si="29"/>
        <v>255.0079995</v>
      </c>
      <c r="F25" s="106">
        <f t="shared" si="29"/>
        <v>274.237558</v>
      </c>
      <c r="G25" s="107">
        <f t="shared" si="29"/>
        <v>0.000000561378</v>
      </c>
      <c r="H25" s="108">
        <v>8.224346721</v>
      </c>
      <c r="I25" s="108">
        <v>69.26784262</v>
      </c>
      <c r="J25" s="108">
        <v>98.10343702</v>
      </c>
      <c r="K25" s="109">
        <f>3.02605*10^-7</f>
        <v>0.000000302605</v>
      </c>
      <c r="L25" s="110">
        <v>1.627282826</v>
      </c>
      <c r="M25" s="110">
        <v>25.05825686</v>
      </c>
      <c r="N25" s="110">
        <f>5.81130697</f>
        <v>5.81130697</v>
      </c>
      <c r="O25" s="111">
        <f>2.58306*10^-7</f>
        <v>0.000000258306</v>
      </c>
      <c r="P25" s="112">
        <v>11.43553</v>
      </c>
      <c r="Q25" s="112">
        <v>160.6819</v>
      </c>
      <c r="R25" s="112">
        <f>1.06*Q25</f>
        <v>170.322814</v>
      </c>
      <c r="S25" s="113">
        <f>4.67*10^-10</f>
        <v>0.000000000467</v>
      </c>
      <c r="T25" s="43">
        <v>1.0</v>
      </c>
      <c r="U25" s="42"/>
      <c r="V25" s="42"/>
      <c r="W25" s="42"/>
      <c r="X25" s="42"/>
      <c r="Y25" s="42"/>
      <c r="Z25" s="42"/>
    </row>
    <row r="26" ht="12.0" customHeight="1">
      <c r="A26" s="42"/>
      <c r="B26" s="42"/>
      <c r="C26" s="42" t="s">
        <v>161</v>
      </c>
      <c r="D26" s="106"/>
      <c r="E26" s="106"/>
      <c r="F26" s="106"/>
      <c r="G26" s="107"/>
      <c r="H26" s="114">
        <f>-1.06*4.37</f>
        <v>-4.6322</v>
      </c>
      <c r="I26" s="114">
        <f>-1.06*0.368*41.868</f>
        <v>-16.33186944</v>
      </c>
      <c r="J26" s="114">
        <f>-1.06*1000*0.0136</f>
        <v>-14.416</v>
      </c>
      <c r="K26" s="115">
        <f>-1.06*1.24*10^-7</f>
        <v>-0.00000013144</v>
      </c>
      <c r="L26" s="110"/>
      <c r="M26" s="110"/>
      <c r="N26" s="110"/>
      <c r="O26" s="111"/>
      <c r="P26" s="112"/>
      <c r="Q26" s="112"/>
      <c r="R26" s="112"/>
      <c r="S26" s="113"/>
      <c r="T26" s="43"/>
      <c r="U26" s="42"/>
      <c r="V26" s="42"/>
      <c r="W26" s="42"/>
      <c r="X26" s="42"/>
      <c r="Y26" s="42"/>
      <c r="Z26" s="42"/>
    </row>
    <row r="27" ht="12.0" customHeight="1">
      <c r="A27" s="42"/>
      <c r="B27" s="42" t="s">
        <v>154</v>
      </c>
      <c r="C27" s="42" t="s">
        <v>162</v>
      </c>
      <c r="D27" s="106">
        <f t="shared" ref="D27:G27" si="30">H27+L27+P27</f>
        <v>16.65495955</v>
      </c>
      <c r="E27" s="106">
        <f t="shared" si="30"/>
        <v>238.67613</v>
      </c>
      <c r="F27" s="106">
        <f t="shared" si="30"/>
        <v>259.821558</v>
      </c>
      <c r="G27" s="107">
        <f t="shared" si="30"/>
        <v>0.000000429938</v>
      </c>
      <c r="H27" s="108">
        <f t="shared" ref="H27:K27" si="31">H25+H26</f>
        <v>3.592146721</v>
      </c>
      <c r="I27" s="108">
        <f t="shared" si="31"/>
        <v>52.93597318</v>
      </c>
      <c r="J27" s="108">
        <f t="shared" si="31"/>
        <v>83.68743702</v>
      </c>
      <c r="K27" s="108">
        <f t="shared" si="31"/>
        <v>0.000000171165</v>
      </c>
      <c r="L27" s="110">
        <v>1.627282826</v>
      </c>
      <c r="M27" s="110">
        <v>25.05825686</v>
      </c>
      <c r="N27" s="110">
        <f>5.81130697</f>
        <v>5.81130697</v>
      </c>
      <c r="O27" s="111">
        <f>2.58306*10^-7</f>
        <v>0.000000258306</v>
      </c>
      <c r="P27" s="112">
        <v>11.43553</v>
      </c>
      <c r="Q27" s="112">
        <v>160.6819</v>
      </c>
      <c r="R27" s="112">
        <f t="shared" ref="R27:R34" si="33">1.06*Q27</f>
        <v>170.322814</v>
      </c>
      <c r="S27" s="113">
        <f t="shared" ref="S27:S28" si="34">4.67*10^-10</f>
        <v>0.000000000467</v>
      </c>
      <c r="T27" s="43">
        <v>1.0</v>
      </c>
      <c r="U27" s="42"/>
      <c r="V27" s="42"/>
      <c r="W27" s="42"/>
      <c r="X27" s="42"/>
      <c r="Y27" s="42"/>
      <c r="Z27" s="42"/>
    </row>
    <row r="28" ht="12.0" customHeight="1">
      <c r="A28" s="42"/>
      <c r="B28" s="42" t="s">
        <v>154</v>
      </c>
      <c r="C28" s="42" t="s">
        <v>163</v>
      </c>
      <c r="D28" s="106">
        <f t="shared" ref="D28:G28" si="32">H28+L28+P28</f>
        <v>25.05359524</v>
      </c>
      <c r="E28" s="106">
        <f t="shared" si="32"/>
        <v>364.9942733</v>
      </c>
      <c r="F28" s="106">
        <f t="shared" si="32"/>
        <v>274.2520366</v>
      </c>
      <c r="G28" s="107">
        <f t="shared" si="32"/>
        <v>0.000001205466</v>
      </c>
      <c r="H28" s="108">
        <v>12.89359</v>
      </c>
      <c r="I28" s="108">
        <v>193.1563</v>
      </c>
      <c r="J28" s="108">
        <v>101.342</v>
      </c>
      <c r="K28" s="109">
        <f>1.09*10^-6</f>
        <v>0.00000109</v>
      </c>
      <c r="L28" s="110">
        <v>0.724475235</v>
      </c>
      <c r="M28" s="110">
        <v>11.15607331</v>
      </c>
      <c r="N28" s="110">
        <v>2.5872225725</v>
      </c>
      <c r="O28" s="111">
        <f>1.14999*10^-7</f>
        <v>0.000000114999</v>
      </c>
      <c r="P28" s="112">
        <v>11.43553</v>
      </c>
      <c r="Q28" s="112">
        <v>160.6819</v>
      </c>
      <c r="R28" s="112">
        <f t="shared" si="33"/>
        <v>170.322814</v>
      </c>
      <c r="S28" s="113">
        <f t="shared" si="34"/>
        <v>0.000000000467</v>
      </c>
      <c r="T28" s="43">
        <v>1.0</v>
      </c>
      <c r="U28" s="42"/>
      <c r="V28" s="42"/>
      <c r="W28" s="42"/>
      <c r="X28" s="42"/>
      <c r="Y28" s="42"/>
      <c r="Z28" s="42"/>
    </row>
    <row r="29" ht="12.0" customHeight="1">
      <c r="A29" s="42"/>
      <c r="B29" s="42" t="s">
        <v>154</v>
      </c>
      <c r="C29" s="42" t="s">
        <v>164</v>
      </c>
      <c r="D29" s="106">
        <f t="shared" ref="D29:G29" si="35">H29+L29+P29</f>
        <v>8.73</v>
      </c>
      <c r="E29" s="106">
        <f t="shared" si="35"/>
        <v>108.5</v>
      </c>
      <c r="F29" s="106">
        <f t="shared" si="35"/>
        <v>58.0598</v>
      </c>
      <c r="G29" s="107">
        <f t="shared" si="35"/>
        <v>0.000000274929</v>
      </c>
      <c r="H29" s="108">
        <v>4.4</v>
      </c>
      <c r="I29" s="108">
        <v>46.0</v>
      </c>
      <c r="J29" s="108">
        <v>6.86</v>
      </c>
      <c r="K29" s="109">
        <v>8.78E-8</v>
      </c>
      <c r="L29" s="110">
        <v>1.18</v>
      </c>
      <c r="M29" s="110">
        <v>18.17</v>
      </c>
      <c r="N29" s="110">
        <v>4.21</v>
      </c>
      <c r="O29" s="111">
        <v>1.87E-7</v>
      </c>
      <c r="P29" s="112">
        <v>3.15</v>
      </c>
      <c r="Q29" s="112">
        <v>44.33</v>
      </c>
      <c r="R29" s="112">
        <f t="shared" si="33"/>
        <v>46.9898</v>
      </c>
      <c r="S29" s="113">
        <v>1.29E-10</v>
      </c>
      <c r="T29" s="43">
        <v>1.0</v>
      </c>
      <c r="U29" s="42"/>
      <c r="V29" s="42"/>
      <c r="W29" s="42"/>
      <c r="X29" s="42"/>
      <c r="Y29" s="42"/>
      <c r="Z29" s="42"/>
    </row>
    <row r="30" ht="12.0" customHeight="1">
      <c r="A30" s="42"/>
      <c r="B30" s="42" t="s">
        <v>154</v>
      </c>
      <c r="C30" s="42" t="s">
        <v>165</v>
      </c>
      <c r="D30" s="106">
        <f t="shared" ref="D30:G30" si="36">H30+L30+P30</f>
        <v>25.19983134</v>
      </c>
      <c r="E30" s="106">
        <f t="shared" si="36"/>
        <v>335.3877472</v>
      </c>
      <c r="F30" s="106">
        <f t="shared" si="36"/>
        <v>270.411052</v>
      </c>
      <c r="G30" s="107">
        <f t="shared" si="36"/>
        <v>0.000000926651</v>
      </c>
      <c r="H30" s="108">
        <v>12.53269345</v>
      </c>
      <c r="I30" s="108">
        <v>155.7405227</v>
      </c>
      <c r="J30" s="108">
        <v>95.68995426</v>
      </c>
      <c r="K30" s="109">
        <f>7.30685*10^-7</f>
        <v>0.000000730685</v>
      </c>
      <c r="L30" s="110">
        <f>1.231607891</f>
        <v>1.231607891</v>
      </c>
      <c r="M30" s="110">
        <f>18.96532452</f>
        <v>18.96532452</v>
      </c>
      <c r="N30" s="110">
        <f>4.398283696</f>
        <v>4.398283696</v>
      </c>
      <c r="O30" s="111">
        <f>1.95499*10^-7</f>
        <v>0.000000195499</v>
      </c>
      <c r="P30" s="112">
        <v>11.43553</v>
      </c>
      <c r="Q30" s="112">
        <v>160.6819</v>
      </c>
      <c r="R30" s="112">
        <f t="shared" si="33"/>
        <v>170.322814</v>
      </c>
      <c r="S30" s="113">
        <f>4.67*10^-10</f>
        <v>0.000000000467</v>
      </c>
      <c r="T30" s="43">
        <v>1.0</v>
      </c>
      <c r="U30" s="42"/>
      <c r="V30" s="42"/>
      <c r="W30" s="42"/>
      <c r="X30" s="42"/>
      <c r="Y30" s="42"/>
      <c r="Z30" s="42"/>
    </row>
    <row r="31" ht="12.0" customHeight="1">
      <c r="A31" s="42"/>
      <c r="B31" s="42" t="s">
        <v>27</v>
      </c>
      <c r="C31" s="42" t="s">
        <v>28</v>
      </c>
      <c r="D31" s="106">
        <f t="shared" ref="D31:G31" si="37">H31+L31+P31</f>
        <v>7.937486</v>
      </c>
      <c r="E31" s="106">
        <f t="shared" si="37"/>
        <v>109.0055989</v>
      </c>
      <c r="F31" s="106">
        <f t="shared" si="37"/>
        <v>84.46806948</v>
      </c>
      <c r="G31" s="107">
        <f t="shared" si="37"/>
        <v>0.0000000224647</v>
      </c>
      <c r="H31" s="108">
        <f>3.59</f>
        <v>3.59</v>
      </c>
      <c r="I31" s="108">
        <f>41.868*1.14</f>
        <v>47.72952</v>
      </c>
      <c r="J31" s="108">
        <f>1000*0.0213</f>
        <v>21.3</v>
      </c>
      <c r="K31" s="109">
        <f>9.27*10^-11</f>
        <v>0</v>
      </c>
      <c r="L31" s="110">
        <f>0.14</f>
        <v>0.14</v>
      </c>
      <c r="M31" s="110">
        <f>41.868*0.0515</f>
        <v>2.156202</v>
      </c>
      <c r="N31" s="110">
        <f>1000*0.000501</f>
        <v>0.501</v>
      </c>
      <c r="O31" s="111">
        <f>2.22*10^-8</f>
        <v>0.0000000222</v>
      </c>
      <c r="P31" s="112">
        <v>4.207486</v>
      </c>
      <c r="Q31" s="112">
        <f t="shared" ref="Q31:Q34" si="39">41.868*1.412054</f>
        <v>59.11987687</v>
      </c>
      <c r="R31" s="112">
        <f t="shared" si="33"/>
        <v>62.66706948</v>
      </c>
      <c r="S31" s="113">
        <f t="shared" ref="S31:S34" si="40">1.72*10^-10</f>
        <v>0.000000000172</v>
      </c>
      <c r="T31" s="43">
        <v>1.0</v>
      </c>
      <c r="U31" s="42"/>
      <c r="V31" s="42"/>
      <c r="W31" s="42"/>
      <c r="X31" s="42"/>
      <c r="Y31" s="42"/>
      <c r="Z31" s="42"/>
    </row>
    <row r="32" ht="12.0" customHeight="1">
      <c r="A32" s="42"/>
      <c r="B32" s="42" t="s">
        <v>27</v>
      </c>
      <c r="C32" s="42" t="s">
        <v>166</v>
      </c>
      <c r="D32" s="106">
        <f t="shared" ref="D32:G32" si="38">H32+L32+P32</f>
        <v>11.880086</v>
      </c>
      <c r="E32" s="106">
        <f t="shared" si="38"/>
        <v>105.901924</v>
      </c>
      <c r="F32" s="106">
        <f t="shared" si="38"/>
        <v>150.2345695</v>
      </c>
      <c r="G32" s="107">
        <f t="shared" si="38"/>
        <v>0.00000030133363</v>
      </c>
      <c r="H32" s="108">
        <f>1.08+0.128+6.13</f>
        <v>7.338</v>
      </c>
      <c r="I32" s="108">
        <f>41.868*(0.361+0.0311+0.602)</f>
        <v>41.6209788</v>
      </c>
      <c r="J32" s="108">
        <f>1000*(0.0129+0.000178+0.0733)</f>
        <v>86.378</v>
      </c>
      <c r="K32" s="109">
        <f>4.51*10^-8+1.63*10^-12+2.03*10^-7</f>
        <v>0.00000024810163</v>
      </c>
      <c r="L32" s="110">
        <f>0.304+0.0167+0.0139</f>
        <v>0.3346</v>
      </c>
      <c r="M32" s="110">
        <f>41.868*(0.112+0.00615+0.00512)</f>
        <v>5.16106836</v>
      </c>
      <c r="N32" s="110">
        <f>1000*(0.00108+5.97*10^-5+4.98*10^-5)</f>
        <v>1.1895</v>
      </c>
      <c r="O32" s="111">
        <f>4.82*10^-8+2.65*10^-9+2.21*10^-9</f>
        <v>0.00000005306</v>
      </c>
      <c r="P32" s="112">
        <v>4.207486</v>
      </c>
      <c r="Q32" s="112">
        <f t="shared" si="39"/>
        <v>59.11987687</v>
      </c>
      <c r="R32" s="112">
        <f t="shared" si="33"/>
        <v>62.66706948</v>
      </c>
      <c r="S32" s="113">
        <f t="shared" si="40"/>
        <v>0.000000000172</v>
      </c>
      <c r="T32" s="43">
        <v>1.0</v>
      </c>
      <c r="U32" s="42"/>
      <c r="V32" s="42"/>
      <c r="W32" s="42"/>
      <c r="X32" s="42"/>
      <c r="Y32" s="42"/>
      <c r="Z32" s="42"/>
    </row>
    <row r="33" ht="12.0" customHeight="1">
      <c r="A33" s="42"/>
      <c r="B33" s="42" t="s">
        <v>27</v>
      </c>
      <c r="C33" s="42" t="s">
        <v>167</v>
      </c>
      <c r="D33" s="106">
        <f t="shared" ref="D33:G33" si="41">H33+L33+P33</f>
        <v>12.862876</v>
      </c>
      <c r="E33" s="106">
        <f t="shared" si="41"/>
        <v>122.335114</v>
      </c>
      <c r="F33" s="106">
        <f t="shared" si="41"/>
        <v>151.6710695</v>
      </c>
      <c r="G33" s="107">
        <f t="shared" si="41"/>
        <v>0.000000319777</v>
      </c>
      <c r="H33" s="108">
        <v>8.31545</v>
      </c>
      <c r="I33" s="108">
        <f>41.868*1.38484</f>
        <v>57.98048112</v>
      </c>
      <c r="J33" s="108">
        <f>1000*0.08779</f>
        <v>87.79</v>
      </c>
      <c r="K33" s="109">
        <f>2.65605*10^-7</f>
        <v>0.000000265605</v>
      </c>
      <c r="L33" s="110">
        <v>0.33994</v>
      </c>
      <c r="M33" s="110">
        <f>41.868*0.12503</f>
        <v>5.23475604</v>
      </c>
      <c r="N33" s="110">
        <f>1000*0.001214</f>
        <v>1.214</v>
      </c>
      <c r="O33" s="111">
        <f>5.4*10^-8</f>
        <v>0.000000054</v>
      </c>
      <c r="P33" s="112">
        <v>4.207486</v>
      </c>
      <c r="Q33" s="112">
        <f t="shared" si="39"/>
        <v>59.11987687</v>
      </c>
      <c r="R33" s="112">
        <f t="shared" si="33"/>
        <v>62.66706948</v>
      </c>
      <c r="S33" s="113">
        <f t="shared" si="40"/>
        <v>0.000000000172</v>
      </c>
      <c r="T33" s="43">
        <v>1.0</v>
      </c>
      <c r="U33" s="42"/>
      <c r="V33" s="42"/>
      <c r="W33" s="42"/>
      <c r="X33" s="42"/>
      <c r="Y33" s="42"/>
      <c r="Z33" s="42"/>
    </row>
    <row r="34" ht="12.0" customHeight="1">
      <c r="A34" s="42"/>
      <c r="B34" s="42" t="s">
        <v>27</v>
      </c>
      <c r="C34" s="42" t="s">
        <v>168</v>
      </c>
      <c r="D34" s="106">
        <f t="shared" ref="D34:G34" si="42">H34+L34+P34</f>
        <v>16.894459</v>
      </c>
      <c r="E34" s="106">
        <f t="shared" si="42"/>
        <v>185.1880674</v>
      </c>
      <c r="F34" s="106">
        <f t="shared" si="42"/>
        <v>194.5420695</v>
      </c>
      <c r="G34" s="107">
        <f t="shared" si="42"/>
        <v>0.000000899272</v>
      </c>
      <c r="H34" s="108">
        <v>12.3526</v>
      </c>
      <c r="I34" s="108">
        <f>41.868*2.888106</f>
        <v>120.919222</v>
      </c>
      <c r="J34" s="108">
        <f>1000*0.130681</f>
        <v>130.681</v>
      </c>
      <c r="K34" s="109">
        <f>8.46*10^-7</f>
        <v>0.000000846</v>
      </c>
      <c r="L34" s="110">
        <v>0.334373</v>
      </c>
      <c r="M34" s="110">
        <f>41.868*0.122981</f>
        <v>5.148968508</v>
      </c>
      <c r="N34" s="110">
        <f>1000*0.001194</f>
        <v>1.194</v>
      </c>
      <c r="O34" s="111">
        <f>5.31*10^-8</f>
        <v>0.0000000531</v>
      </c>
      <c r="P34" s="112">
        <v>4.207486</v>
      </c>
      <c r="Q34" s="112">
        <f t="shared" si="39"/>
        <v>59.11987687</v>
      </c>
      <c r="R34" s="112">
        <f t="shared" si="33"/>
        <v>62.66706948</v>
      </c>
      <c r="S34" s="113">
        <f t="shared" si="40"/>
        <v>0.000000000172</v>
      </c>
      <c r="T34" s="43">
        <v>1.0</v>
      </c>
      <c r="U34" s="42"/>
      <c r="V34" s="42"/>
      <c r="W34" s="42"/>
      <c r="X34" s="42"/>
      <c r="Y34" s="42"/>
      <c r="Z34" s="42"/>
    </row>
    <row r="35" ht="12.0" customHeight="1">
      <c r="A35" s="42"/>
      <c r="B35" s="42" t="s">
        <v>27</v>
      </c>
      <c r="C35" s="42" t="s">
        <v>169</v>
      </c>
      <c r="D35" s="106">
        <f t="shared" ref="D35:G35" si="43">H35+L35+P35</f>
        <v>9.509857146</v>
      </c>
      <c r="E35" s="106">
        <f t="shared" si="43"/>
        <v>72.66992498</v>
      </c>
      <c r="F35" s="106">
        <f t="shared" si="43"/>
        <v>106.8562617</v>
      </c>
      <c r="G35" s="107">
        <f t="shared" si="43"/>
        <v>0.0000003216886455</v>
      </c>
      <c r="H35" s="108">
        <v>9.02903108439249</v>
      </c>
      <c r="I35" s="108">
        <v>65.8778190931326</v>
      </c>
      <c r="J35" s="108">
        <v>106.7609625662167</v>
      </c>
      <c r="K35" s="109">
        <v>3.174341688183844E-7</v>
      </c>
      <c r="L35" s="110">
        <v>0.026685682879979262</v>
      </c>
      <c r="M35" s="110">
        <v>0.41092838038937</v>
      </c>
      <c r="N35" s="110">
        <v>0.09529916525317585</v>
      </c>
      <c r="O35" s="111">
        <v>4.23594499779755E-9</v>
      </c>
      <c r="P35" s="112">
        <v>0.45414037852152267</v>
      </c>
      <c r="Q35" s="112">
        <v>6.3811775106353155</v>
      </c>
      <c r="R35" s="112">
        <v>0.0</v>
      </c>
      <c r="S35" s="113">
        <v>1.8531718092135476E-11</v>
      </c>
      <c r="T35" s="43">
        <v>1.0</v>
      </c>
      <c r="U35" s="42"/>
      <c r="V35" s="42"/>
      <c r="W35" s="42"/>
      <c r="X35" s="42"/>
      <c r="Y35" s="42"/>
      <c r="Z35" s="42"/>
    </row>
    <row r="36" ht="12.0" customHeight="1">
      <c r="A36" s="42"/>
      <c r="B36" s="42" t="s">
        <v>27</v>
      </c>
      <c r="C36" s="42" t="s">
        <v>170</v>
      </c>
      <c r="D36" s="106">
        <f t="shared" ref="D36:G36" si="44">H36+L36+P36</f>
        <v>2.489740031</v>
      </c>
      <c r="E36" s="106">
        <f t="shared" si="44"/>
        <v>29.62362059</v>
      </c>
      <c r="F36" s="106">
        <f t="shared" si="44"/>
        <v>17.02474309</v>
      </c>
      <c r="G36" s="107">
        <f t="shared" si="44"/>
        <v>0.00000001329811467</v>
      </c>
      <c r="H36" s="108">
        <v>1.3313426400000001</v>
      </c>
      <c r="I36" s="108">
        <v>13.286762991576001</v>
      </c>
      <c r="J36" s="108">
        <v>0.27617940999999996</v>
      </c>
      <c r="K36" s="109">
        <v>6.175778700000001E-9</v>
      </c>
      <c r="L36" s="110">
        <v>0.044583091</v>
      </c>
      <c r="M36" s="110">
        <v>0.6865275992400001</v>
      </c>
      <c r="N36" s="110">
        <v>0.15921389</v>
      </c>
      <c r="O36" s="111">
        <v>7.0768855E-9</v>
      </c>
      <c r="P36" s="112">
        <v>1.1138143</v>
      </c>
      <c r="Q36" s="112">
        <v>15.650329994280002</v>
      </c>
      <c r="R36" s="112">
        <f t="shared" ref="R36:R39" si="47">1.06*Q36</f>
        <v>16.58934979</v>
      </c>
      <c r="S36" s="113">
        <v>4.5450468E-11</v>
      </c>
      <c r="T36" s="43">
        <v>1.0</v>
      </c>
      <c r="U36" s="42"/>
      <c r="V36" s="42"/>
      <c r="W36" s="42"/>
      <c r="X36" s="42"/>
      <c r="Y36" s="42"/>
      <c r="Z36" s="42"/>
    </row>
    <row r="37" ht="12.0" customHeight="1">
      <c r="A37" s="42"/>
      <c r="B37" s="42" t="s">
        <v>27</v>
      </c>
      <c r="C37" s="42" t="s">
        <v>171</v>
      </c>
      <c r="D37" s="106">
        <f t="shared" ref="D37:G37" si="45">H37+L37+P37</f>
        <v>5.710886</v>
      </c>
      <c r="E37" s="106">
        <f t="shared" si="45"/>
        <v>84.20006491</v>
      </c>
      <c r="F37" s="106">
        <f t="shared" si="45"/>
        <v>131.0485695</v>
      </c>
      <c r="G37" s="107">
        <f t="shared" si="45"/>
        <v>0.00000012643363</v>
      </c>
      <c r="H37" s="108">
        <f t="shared" ref="H37:K37" si="46">H32+H40</f>
        <v>1.1688</v>
      </c>
      <c r="I37" s="108">
        <f t="shared" si="46"/>
        <v>19.91911968</v>
      </c>
      <c r="J37" s="108">
        <f t="shared" si="46"/>
        <v>67.192</v>
      </c>
      <c r="K37" s="109">
        <f t="shared" si="46"/>
        <v>0.00000007320163</v>
      </c>
      <c r="L37" s="110">
        <f>0.304+0.0167+0.0139</f>
        <v>0.3346</v>
      </c>
      <c r="M37" s="110">
        <f>41.868*(0.112+0.00615+0.00512)</f>
        <v>5.16106836</v>
      </c>
      <c r="N37" s="110">
        <f>1000*(0.00108+5.97*10^-5+4.98*10^-5)</f>
        <v>1.1895</v>
      </c>
      <c r="O37" s="111">
        <f>4.82*10^-8+2.65*10^-9+2.21*10^-9</f>
        <v>0.00000005306</v>
      </c>
      <c r="P37" s="112">
        <v>4.207486</v>
      </c>
      <c r="Q37" s="112">
        <f t="shared" ref="Q37:Q39" si="50">41.868*1.412054</f>
        <v>59.11987687</v>
      </c>
      <c r="R37" s="112">
        <f t="shared" si="47"/>
        <v>62.66706948</v>
      </c>
      <c r="S37" s="113">
        <f t="shared" ref="S37:S39" si="51">1.72*10^-10</f>
        <v>0.000000000172</v>
      </c>
      <c r="T37" s="43">
        <v>1.0</v>
      </c>
      <c r="U37" s="42"/>
      <c r="V37" s="42"/>
      <c r="W37" s="42"/>
      <c r="X37" s="42"/>
      <c r="Y37" s="42"/>
      <c r="Z37" s="42"/>
    </row>
    <row r="38" ht="12.0" customHeight="1">
      <c r="A38" s="42"/>
      <c r="B38" s="42" t="s">
        <v>27</v>
      </c>
      <c r="C38" s="42" t="s">
        <v>172</v>
      </c>
      <c r="D38" s="106">
        <f t="shared" ref="D38:G38" si="48">H38+L38+P38</f>
        <v>6.693676</v>
      </c>
      <c r="E38" s="106">
        <f t="shared" si="48"/>
        <v>100.6332549</v>
      </c>
      <c r="F38" s="106">
        <f t="shared" si="48"/>
        <v>132.4850695</v>
      </c>
      <c r="G38" s="107">
        <f t="shared" si="48"/>
        <v>0.000000144877</v>
      </c>
      <c r="H38" s="108">
        <f t="shared" ref="H38:K38" si="49">H33+H40</f>
        <v>2.14625</v>
      </c>
      <c r="I38" s="108">
        <f t="shared" si="49"/>
        <v>36.278622</v>
      </c>
      <c r="J38" s="108">
        <f t="shared" si="49"/>
        <v>68.604</v>
      </c>
      <c r="K38" s="109">
        <f t="shared" si="49"/>
        <v>0.000000090705</v>
      </c>
      <c r="L38" s="110">
        <v>0.33994</v>
      </c>
      <c r="M38" s="110">
        <f>41.868*0.12503</f>
        <v>5.23475604</v>
      </c>
      <c r="N38" s="110">
        <f>1000*0.001214</f>
        <v>1.214</v>
      </c>
      <c r="O38" s="111">
        <f>5.4*10^-8</f>
        <v>0.000000054</v>
      </c>
      <c r="P38" s="112">
        <v>4.207486</v>
      </c>
      <c r="Q38" s="112">
        <f t="shared" si="50"/>
        <v>59.11987687</v>
      </c>
      <c r="R38" s="112">
        <f t="shared" si="47"/>
        <v>62.66706948</v>
      </c>
      <c r="S38" s="113">
        <f t="shared" si="51"/>
        <v>0.000000000172</v>
      </c>
      <c r="T38" s="43">
        <v>1.0</v>
      </c>
      <c r="U38" s="42"/>
      <c r="V38" s="42"/>
      <c r="W38" s="42"/>
      <c r="X38" s="42"/>
      <c r="Y38" s="42"/>
      <c r="Z38" s="42"/>
    </row>
    <row r="39" ht="12.0" customHeight="1">
      <c r="A39" s="42"/>
      <c r="B39" s="42" t="s">
        <v>27</v>
      </c>
      <c r="C39" s="42" t="s">
        <v>173</v>
      </c>
      <c r="D39" s="106">
        <f t="shared" ref="D39:G39" si="52">H39+L39+P39</f>
        <v>10.725259</v>
      </c>
      <c r="E39" s="106">
        <f t="shared" si="52"/>
        <v>163.4862083</v>
      </c>
      <c r="F39" s="106">
        <f t="shared" si="52"/>
        <v>175.3560695</v>
      </c>
      <c r="G39" s="107">
        <f t="shared" si="52"/>
        <v>0.000000724372</v>
      </c>
      <c r="H39" s="108">
        <f t="shared" ref="H39:K39" si="53">H34+H40</f>
        <v>6.1834</v>
      </c>
      <c r="I39" s="108">
        <f t="shared" si="53"/>
        <v>99.21736289</v>
      </c>
      <c r="J39" s="108">
        <f t="shared" si="53"/>
        <v>111.495</v>
      </c>
      <c r="K39" s="109">
        <f t="shared" si="53"/>
        <v>0.0000006711</v>
      </c>
      <c r="L39" s="110">
        <v>0.334373</v>
      </c>
      <c r="M39" s="110">
        <f>41.868*0.122981</f>
        <v>5.148968508</v>
      </c>
      <c r="N39" s="110">
        <f>1000*0.001194</f>
        <v>1.194</v>
      </c>
      <c r="O39" s="111">
        <f>5.31*10^-8</f>
        <v>0.0000000531</v>
      </c>
      <c r="P39" s="112">
        <v>4.207486</v>
      </c>
      <c r="Q39" s="112">
        <f t="shared" si="50"/>
        <v>59.11987687</v>
      </c>
      <c r="R39" s="112">
        <f t="shared" si="47"/>
        <v>62.66706948</v>
      </c>
      <c r="S39" s="113">
        <f t="shared" si="51"/>
        <v>0.000000000172</v>
      </c>
      <c r="T39" s="43">
        <v>1.0</v>
      </c>
      <c r="U39" s="42"/>
      <c r="V39" s="42"/>
      <c r="W39" s="42"/>
      <c r="X39" s="42"/>
      <c r="Y39" s="42"/>
      <c r="Z39" s="42"/>
    </row>
    <row r="40" ht="12.0" customHeight="1">
      <c r="A40" s="42"/>
      <c r="B40" s="42"/>
      <c r="C40" s="42" t="s">
        <v>174</v>
      </c>
      <c r="D40" s="106"/>
      <c r="E40" s="106"/>
      <c r="F40" s="106"/>
      <c r="G40" s="107"/>
      <c r="H40" s="114">
        <f>-1.06*5.82</f>
        <v>-6.1692</v>
      </c>
      <c r="I40" s="114">
        <f>-1.06*0.489*41.868</f>
        <v>-21.70185912</v>
      </c>
      <c r="J40" s="114">
        <f>-1.06*1000*0.0181</f>
        <v>-19.186</v>
      </c>
      <c r="K40" s="115">
        <f>-1.06*1.65*10^-7</f>
        <v>-0.0000001749</v>
      </c>
      <c r="L40" s="110"/>
      <c r="M40" s="110"/>
      <c r="N40" s="110"/>
      <c r="O40" s="111"/>
      <c r="P40" s="112"/>
      <c r="Q40" s="112"/>
      <c r="R40" s="112"/>
      <c r="S40" s="113"/>
      <c r="T40" s="43"/>
      <c r="U40" s="42"/>
      <c r="V40" s="42"/>
      <c r="W40" s="42"/>
      <c r="X40" s="42"/>
      <c r="Y40" s="42"/>
      <c r="Z40" s="42"/>
    </row>
    <row r="41" ht="12.0" customHeight="1">
      <c r="A41" s="42"/>
      <c r="B41" s="42" t="s">
        <v>27</v>
      </c>
      <c r="C41" s="42" t="s">
        <v>175</v>
      </c>
      <c r="D41" s="106">
        <f t="shared" ref="D41:G41" si="54">H41+L41+P41</f>
        <v>0.9744571588</v>
      </c>
      <c r="E41" s="106">
        <f t="shared" si="54"/>
        <v>16.45415623</v>
      </c>
      <c r="F41" s="106">
        <f t="shared" si="54"/>
        <v>1.42849318</v>
      </c>
      <c r="G41" s="107">
        <f t="shared" si="54"/>
        <v>0.0000000185682404</v>
      </c>
      <c r="H41" s="108">
        <v>0.9688842724604353</v>
      </c>
      <c r="I41" s="108">
        <v>16.36834028060043</v>
      </c>
      <c r="J41" s="108">
        <v>1.4085914437908416</v>
      </c>
      <c r="K41" s="109">
        <v>1.768362971720842E-8</v>
      </c>
      <c r="L41" s="110">
        <v>0.005572886388694628</v>
      </c>
      <c r="M41" s="110">
        <v>0.08581594814294989</v>
      </c>
      <c r="N41" s="110">
        <v>0.019901736206134803</v>
      </c>
      <c r="O41" s="111">
        <v>8.846106853878572E-10</v>
      </c>
      <c r="P41" s="112">
        <v>0.0</v>
      </c>
      <c r="Q41" s="112">
        <v>0.0</v>
      </c>
      <c r="R41" s="112">
        <v>0.0</v>
      </c>
      <c r="S41" s="112">
        <v>0.0</v>
      </c>
      <c r="T41" s="43">
        <v>2.0</v>
      </c>
      <c r="U41" s="42"/>
      <c r="V41" s="42"/>
      <c r="W41" s="42"/>
      <c r="X41" s="42"/>
      <c r="Y41" s="42"/>
      <c r="Z41" s="42"/>
    </row>
    <row r="42" ht="12.0" customHeight="1">
      <c r="A42" s="42"/>
      <c r="B42" s="116" t="s">
        <v>176</v>
      </c>
      <c r="C42" s="116" t="s">
        <v>177</v>
      </c>
      <c r="D42" s="106">
        <f t="shared" ref="D42:G42" si="55">H42+L42+P42</f>
        <v>43.073319</v>
      </c>
      <c r="E42" s="106">
        <f t="shared" si="55"/>
        <v>590.5312672</v>
      </c>
      <c r="F42" s="106">
        <f t="shared" si="55"/>
        <v>400.5926504</v>
      </c>
      <c r="G42" s="107">
        <f t="shared" si="55"/>
        <v>0.000001249933</v>
      </c>
      <c r="H42" s="108">
        <v>19.69234</v>
      </c>
      <c r="I42" s="108">
        <f>41.868*6.241408</f>
        <v>261.3152701</v>
      </c>
      <c r="J42" s="108">
        <f>1000*0.058126</f>
        <v>58.126</v>
      </c>
      <c r="K42" s="109">
        <f>1.16*10^-6</f>
        <v>0.00000116</v>
      </c>
      <c r="L42" s="110">
        <f>0.509919</f>
        <v>0.509919</v>
      </c>
      <c r="M42" s="110">
        <f>41.868*0.187546</f>
        <v>7.852175928</v>
      </c>
      <c r="N42" s="110">
        <f>1000*0.001821</f>
        <v>1.821</v>
      </c>
      <c r="O42" s="111">
        <f>8.9*10^-8</f>
        <v>0.000000089</v>
      </c>
      <c r="P42" s="112">
        <f t="shared" ref="P42:P43" si="57">22.87106</f>
        <v>22.87106</v>
      </c>
      <c r="Q42" s="112">
        <f t="shared" ref="Q42:Q43" si="58">41.868*7.675643</f>
        <v>321.3638211</v>
      </c>
      <c r="R42" s="112">
        <f t="shared" ref="R42:R46" si="59">1.06*Q42</f>
        <v>340.6456504</v>
      </c>
      <c r="S42" s="113">
        <f t="shared" ref="S42:S43" si="60">9.33*10^-10</f>
        <v>0.000000000933</v>
      </c>
      <c r="T42" s="43">
        <v>1.0</v>
      </c>
      <c r="U42" s="42"/>
      <c r="V42" s="42"/>
      <c r="W42" s="42"/>
      <c r="X42" s="42"/>
      <c r="Y42" s="42"/>
      <c r="Z42" s="42"/>
    </row>
    <row r="43" ht="12.0" customHeight="1">
      <c r="A43" s="42"/>
      <c r="B43" s="116" t="s">
        <v>176</v>
      </c>
      <c r="C43" s="116" t="s">
        <v>178</v>
      </c>
      <c r="D43" s="106">
        <f t="shared" ref="D43:G43" si="56">H43+L43+P43</f>
        <v>25.467862</v>
      </c>
      <c r="E43" s="106">
        <f t="shared" si="56"/>
        <v>395.1997976</v>
      </c>
      <c r="F43" s="106">
        <f t="shared" si="56"/>
        <v>355.9926504</v>
      </c>
      <c r="G43" s="107">
        <f t="shared" si="56"/>
        <v>0.000000470933</v>
      </c>
      <c r="H43" s="108">
        <f>2.518782</f>
        <v>2.518782</v>
      </c>
      <c r="I43" s="108">
        <f>41.868*1.734846</f>
        <v>72.63453233</v>
      </c>
      <c r="J43" s="108">
        <f>1000*0.015068</f>
        <v>15.068</v>
      </c>
      <c r="K43" s="109">
        <f>4.58*10^-7</f>
        <v>0.000000458</v>
      </c>
      <c r="L43" s="110">
        <v>0.07802</v>
      </c>
      <c r="M43" s="110">
        <f>41.868*0.028696</f>
        <v>1.201444128</v>
      </c>
      <c r="N43" s="110">
        <f>1000*0.000279</f>
        <v>0.279</v>
      </c>
      <c r="O43" s="111">
        <f>1.2*10^-8</f>
        <v>0.000000012</v>
      </c>
      <c r="P43" s="112">
        <f t="shared" si="57"/>
        <v>22.87106</v>
      </c>
      <c r="Q43" s="112">
        <f t="shared" si="58"/>
        <v>321.3638211</v>
      </c>
      <c r="R43" s="112">
        <f t="shared" si="59"/>
        <v>340.6456504</v>
      </c>
      <c r="S43" s="113">
        <f t="shared" si="60"/>
        <v>0.000000000933</v>
      </c>
      <c r="T43" s="43">
        <v>1.0</v>
      </c>
      <c r="U43" s="42"/>
      <c r="V43" s="42"/>
      <c r="W43" s="42"/>
      <c r="X43" s="42"/>
      <c r="Y43" s="42"/>
      <c r="Z43" s="42"/>
    </row>
    <row r="44" ht="12.0" customHeight="1">
      <c r="A44" s="42"/>
      <c r="B44" s="42" t="s">
        <v>176</v>
      </c>
      <c r="C44" s="42" t="s">
        <v>179</v>
      </c>
      <c r="D44" s="106">
        <f t="shared" ref="D44:G44" si="61">H44+L44+P44</f>
        <v>0.362654147</v>
      </c>
      <c r="E44" s="106">
        <f t="shared" si="61"/>
        <v>0.4174378554</v>
      </c>
      <c r="F44" s="106">
        <f t="shared" si="61"/>
        <v>1.1474656</v>
      </c>
      <c r="G44" s="107">
        <f t="shared" si="61"/>
        <v>0.00000000430835966</v>
      </c>
      <c r="H44" s="108">
        <v>0.34036214695863104</v>
      </c>
      <c r="I44" s="108">
        <v>0.0741738554028</v>
      </c>
      <c r="J44" s="108">
        <v>1.0678585995429335</v>
      </c>
      <c r="K44" s="109">
        <v>7.6835966E-10</v>
      </c>
      <c r="L44" s="110">
        <v>0.022292</v>
      </c>
      <c r="M44" s="110">
        <v>0.343264</v>
      </c>
      <c r="N44" s="110">
        <v>0.079607</v>
      </c>
      <c r="O44" s="111">
        <f>3.54*10^-9</f>
        <v>0.00000000354</v>
      </c>
      <c r="P44" s="112">
        <v>0.0</v>
      </c>
      <c r="Q44" s="112">
        <v>0.0</v>
      </c>
      <c r="R44" s="112">
        <f t="shared" si="59"/>
        <v>0</v>
      </c>
      <c r="S44" s="113">
        <v>0.0</v>
      </c>
      <c r="T44" s="43">
        <v>3.0</v>
      </c>
      <c r="U44" s="42"/>
      <c r="V44" s="42"/>
      <c r="W44" s="42"/>
      <c r="X44" s="42"/>
      <c r="Y44" s="42"/>
      <c r="Z44" s="42"/>
    </row>
    <row r="45" ht="12.0" customHeight="1">
      <c r="A45" s="42"/>
      <c r="B45" s="42" t="s">
        <v>176</v>
      </c>
      <c r="C45" s="42" t="s">
        <v>180</v>
      </c>
      <c r="D45" s="106">
        <f t="shared" ref="D45:G45" si="62">H45+L45+P45</f>
        <v>0.1447496</v>
      </c>
      <c r="E45" s="106">
        <f t="shared" si="62"/>
        <v>6.694216</v>
      </c>
      <c r="F45" s="106">
        <f t="shared" si="62"/>
        <v>0.019902</v>
      </c>
      <c r="G45" s="107">
        <f t="shared" si="62"/>
        <v>0.00000000088603195</v>
      </c>
      <c r="H45" s="108">
        <v>0.1391766</v>
      </c>
      <c r="I45" s="108">
        <v>6.6084</v>
      </c>
      <c r="J45" s="108">
        <v>0.0</v>
      </c>
      <c r="K45" s="109">
        <f>1.03195*10^-12</f>
        <v>0</v>
      </c>
      <c r="L45" s="110">
        <v>0.005573</v>
      </c>
      <c r="M45" s="110">
        <v>0.085816</v>
      </c>
      <c r="N45" s="110">
        <v>0.019902</v>
      </c>
      <c r="O45" s="111">
        <f>8.85*10^-10</f>
        <v>0.000000000885</v>
      </c>
      <c r="P45" s="112">
        <v>0.0</v>
      </c>
      <c r="Q45" s="112">
        <v>0.0</v>
      </c>
      <c r="R45" s="112">
        <f t="shared" si="59"/>
        <v>0</v>
      </c>
      <c r="S45" s="113">
        <v>0.0</v>
      </c>
      <c r="T45" s="43">
        <v>1.0</v>
      </c>
      <c r="U45" s="42"/>
      <c r="V45" s="42"/>
      <c r="W45" s="42"/>
      <c r="X45" s="42"/>
      <c r="Y45" s="42"/>
      <c r="Z45" s="42"/>
    </row>
    <row r="46" ht="12.0" customHeight="1">
      <c r="A46" s="42"/>
      <c r="B46" s="42" t="s">
        <v>176</v>
      </c>
      <c r="C46" s="42" t="s">
        <v>181</v>
      </c>
      <c r="D46" s="106">
        <f t="shared" ref="D46:G46" si="63">H46+L46+P46</f>
        <v>8.364540519</v>
      </c>
      <c r="E46" s="106">
        <f t="shared" si="63"/>
        <v>141.0296568</v>
      </c>
      <c r="F46" s="106">
        <f t="shared" si="63"/>
        <v>23.814187</v>
      </c>
      <c r="G46" s="107">
        <f t="shared" si="63"/>
        <v>0.00000120149</v>
      </c>
      <c r="H46" s="108">
        <f>8.085896519</f>
        <v>8.085896519</v>
      </c>
      <c r="I46" s="108">
        <v>136.7388598</v>
      </c>
      <c r="J46" s="108">
        <v>22.8191</v>
      </c>
      <c r="K46" s="109">
        <f>1.15729*10^-6</f>
        <v>0.00000115729</v>
      </c>
      <c r="L46" s="110">
        <f>0.278644</f>
        <v>0.278644</v>
      </c>
      <c r="M46" s="110">
        <f>4.290797</f>
        <v>4.290797</v>
      </c>
      <c r="N46" s="110">
        <f>0.995087</f>
        <v>0.995087</v>
      </c>
      <c r="O46" s="111">
        <f>4.42*10^-8</f>
        <v>0.0000000442</v>
      </c>
      <c r="P46" s="112">
        <v>0.0</v>
      </c>
      <c r="Q46" s="112">
        <v>0.0</v>
      </c>
      <c r="R46" s="112">
        <f t="shared" si="59"/>
        <v>0</v>
      </c>
      <c r="S46" s="113">
        <v>0.0</v>
      </c>
      <c r="T46" s="43">
        <v>1.0</v>
      </c>
      <c r="U46" s="42"/>
      <c r="V46" s="42"/>
      <c r="W46" s="42"/>
      <c r="X46" s="42"/>
      <c r="Y46" s="42"/>
      <c r="Z46" s="42"/>
    </row>
    <row r="47" ht="12.0" customHeight="1">
      <c r="A47" s="42"/>
      <c r="B47" s="42" t="s">
        <v>176</v>
      </c>
      <c r="C47" s="42" t="s">
        <v>182</v>
      </c>
      <c r="D47" s="106">
        <f t="shared" ref="D47:G47" si="64">H47+L47+P47</f>
        <v>2.300535835</v>
      </c>
      <c r="E47" s="106">
        <f t="shared" si="64"/>
        <v>31.06712344</v>
      </c>
      <c r="F47" s="106">
        <f t="shared" si="64"/>
        <v>10.71747193</v>
      </c>
      <c r="G47" s="107">
        <f t="shared" si="64"/>
        <v>0.0000001020474453</v>
      </c>
      <c r="H47" s="108">
        <v>1.3050977795845944</v>
      </c>
      <c r="I47" s="108">
        <v>16.899214454501024</v>
      </c>
      <c r="J47" s="108">
        <v>10.238133643522731</v>
      </c>
      <c r="K47" s="109">
        <v>8.070623304135973E-8</v>
      </c>
      <c r="L47" s="110">
        <v>0.13422436160121795</v>
      </c>
      <c r="M47" s="110">
        <v>2.066898561109732</v>
      </c>
      <c r="N47" s="110">
        <v>0.4793382901168394</v>
      </c>
      <c r="O47" s="111">
        <v>2.1306069487531377E-8</v>
      </c>
      <c r="P47" s="112">
        <v>0.861213693639731</v>
      </c>
      <c r="Q47" s="112">
        <v>12.101010422363442</v>
      </c>
      <c r="R47" s="112">
        <v>0.0</v>
      </c>
      <c r="S47" s="113">
        <v>3.514281077488874E-11</v>
      </c>
      <c r="T47" s="43">
        <v>2.0</v>
      </c>
      <c r="U47" s="42"/>
      <c r="V47" s="42"/>
      <c r="W47" s="42"/>
      <c r="X47" s="42"/>
      <c r="Y47" s="42"/>
      <c r="Z47" s="42"/>
    </row>
    <row r="48" ht="12.0" customHeight="1">
      <c r="A48" s="42"/>
      <c r="B48" s="42" t="s">
        <v>176</v>
      </c>
      <c r="C48" s="42" t="s">
        <v>183</v>
      </c>
      <c r="D48" s="106">
        <f t="shared" ref="D48:G48" si="65">H48+L48+P48</f>
        <v>0.253234</v>
      </c>
      <c r="E48" s="106">
        <f t="shared" si="65"/>
        <v>4.327678</v>
      </c>
      <c r="F48" s="106">
        <f t="shared" si="65"/>
        <v>3.942657</v>
      </c>
      <c r="G48" s="107">
        <f t="shared" si="65"/>
        <v>0.00000003078151</v>
      </c>
      <c r="H48" s="108">
        <f>0.164327</f>
        <v>0.164327</v>
      </c>
      <c r="I48" s="108">
        <v>3.07467</v>
      </c>
      <c r="J48" s="108">
        <v>2.65</v>
      </c>
      <c r="K48" s="109">
        <f>3.0336*10^-8</f>
        <v>0.000000030336</v>
      </c>
      <c r="L48" s="110">
        <v>0.002786</v>
      </c>
      <c r="M48" s="110">
        <v>0.042908</v>
      </c>
      <c r="N48" s="110">
        <v>0.009951</v>
      </c>
      <c r="O48" s="111">
        <f>4.42*10^-10</f>
        <v>0.000000000442</v>
      </c>
      <c r="P48" s="112">
        <f>0.086121</f>
        <v>0.086121</v>
      </c>
      <c r="Q48" s="112">
        <f>1.2101</f>
        <v>1.2101</v>
      </c>
      <c r="R48" s="112">
        <f>1.06*Q48</f>
        <v>1.282706</v>
      </c>
      <c r="S48" s="113">
        <f>3.51*10^-12</f>
        <v>0</v>
      </c>
      <c r="T48" s="43">
        <v>1.0</v>
      </c>
      <c r="U48" s="42"/>
      <c r="V48" s="42"/>
      <c r="W48" s="42"/>
      <c r="X48" s="42"/>
      <c r="Y48" s="42"/>
      <c r="Z48" s="42"/>
    </row>
    <row r="49" ht="12.0" customHeight="1">
      <c r="A49" s="42"/>
      <c r="B49" s="42" t="s">
        <v>176</v>
      </c>
      <c r="C49" s="42" t="s">
        <v>184</v>
      </c>
      <c r="D49" s="106">
        <f t="shared" ref="D49:G49" si="66">H49+L49+P49</f>
        <v>2.24877115</v>
      </c>
      <c r="E49" s="106">
        <f t="shared" si="66"/>
        <v>21.29419474</v>
      </c>
      <c r="F49" s="106">
        <f t="shared" si="66"/>
        <v>2.312005383</v>
      </c>
      <c r="G49" s="107">
        <f t="shared" si="66"/>
        <v>0.00000002524433053</v>
      </c>
      <c r="H49" s="108">
        <v>2.2101231834027137</v>
      </c>
      <c r="I49" s="108">
        <v>20.69906113968992</v>
      </c>
      <c r="J49" s="108">
        <v>2.1739868433516016</v>
      </c>
      <c r="K49" s="109">
        <v>1.9109555444165804E-8</v>
      </c>
      <c r="L49" s="110">
        <v>0.03864796690159419</v>
      </c>
      <c r="M49" s="110">
        <v>0.5951335977676167</v>
      </c>
      <c r="N49" s="110">
        <v>0.1380185393839229</v>
      </c>
      <c r="O49" s="111">
        <v>6.13477508781439E-9</v>
      </c>
      <c r="P49" s="112">
        <v>0.0</v>
      </c>
      <c r="Q49" s="112">
        <v>0.0</v>
      </c>
      <c r="R49" s="112">
        <v>0.0</v>
      </c>
      <c r="S49" s="113">
        <v>0.0</v>
      </c>
      <c r="T49" s="43">
        <v>1.0</v>
      </c>
      <c r="U49" s="42"/>
      <c r="V49" s="42"/>
      <c r="W49" s="42"/>
      <c r="X49" s="42"/>
      <c r="Y49" s="42"/>
      <c r="Z49" s="42"/>
    </row>
    <row r="50" ht="12.0" customHeight="1">
      <c r="A50" s="42"/>
      <c r="B50" s="42" t="s">
        <v>176</v>
      </c>
      <c r="C50" s="42" t="s">
        <v>185</v>
      </c>
      <c r="D50" s="106">
        <f t="shared" ref="D50:G50" si="67">H50+L50+P50</f>
        <v>0.399217</v>
      </c>
      <c r="E50" s="106">
        <f t="shared" si="67"/>
        <v>46.63634468</v>
      </c>
      <c r="F50" s="106">
        <f t="shared" si="67"/>
        <v>3.776</v>
      </c>
      <c r="G50" s="107">
        <f t="shared" si="67"/>
        <v>0.000000402883</v>
      </c>
      <c r="H50" s="108">
        <v>0.390858</v>
      </c>
      <c r="I50" s="108">
        <v>46.50762068</v>
      </c>
      <c r="J50" s="108">
        <v>3.7461</v>
      </c>
      <c r="K50" s="109">
        <f>4.01553*10^-7</f>
        <v>0.000000401553</v>
      </c>
      <c r="L50" s="110">
        <v>0.008359</v>
      </c>
      <c r="M50" s="110">
        <f>0.128724</f>
        <v>0.128724</v>
      </c>
      <c r="N50" s="110">
        <v>0.0299</v>
      </c>
      <c r="O50" s="111">
        <f>1.33*10^-9</f>
        <v>0.00000000133</v>
      </c>
      <c r="P50" s="112">
        <v>0.0</v>
      </c>
      <c r="Q50" s="112">
        <v>0.0</v>
      </c>
      <c r="R50" s="112">
        <f>1.06*Q50</f>
        <v>0</v>
      </c>
      <c r="S50" s="113">
        <v>0.0</v>
      </c>
      <c r="T50" s="43">
        <v>1.0</v>
      </c>
      <c r="U50" s="42"/>
      <c r="V50" s="42"/>
      <c r="W50" s="42"/>
      <c r="X50" s="42"/>
      <c r="Y50" s="42"/>
      <c r="Z50" s="42"/>
    </row>
    <row r="51" ht="12.0" customHeight="1">
      <c r="A51" s="42"/>
      <c r="B51" s="42" t="s">
        <v>186</v>
      </c>
      <c r="C51" s="42" t="s">
        <v>187</v>
      </c>
      <c r="D51" s="106">
        <f t="shared" ref="D51:G51" si="68">H51+L51+P51</f>
        <v>5.232336233</v>
      </c>
      <c r="E51" s="106">
        <f t="shared" si="68"/>
        <v>62.80561683</v>
      </c>
      <c r="F51" s="106">
        <f t="shared" si="68"/>
        <v>30.15273602</v>
      </c>
      <c r="G51" s="107">
        <f t="shared" si="68"/>
        <v>0.0000004159203836</v>
      </c>
      <c r="H51" s="108">
        <v>5.215617573518187</v>
      </c>
      <c r="I51" s="108">
        <v>62.548168985762764</v>
      </c>
      <c r="J51" s="108">
        <v>30.093030814175158</v>
      </c>
      <c r="K51" s="109">
        <v>4.1326655155999384E-7</v>
      </c>
      <c r="L51" s="110">
        <v>0.016718659093000878</v>
      </c>
      <c r="M51" s="110">
        <v>0.2574478435006407</v>
      </c>
      <c r="N51" s="110">
        <v>0.059705208229458004</v>
      </c>
      <c r="O51" s="111">
        <v>2.6538320504159668E-9</v>
      </c>
      <c r="P51" s="112">
        <v>0.0</v>
      </c>
      <c r="Q51" s="112">
        <v>0.0</v>
      </c>
      <c r="R51" s="112">
        <v>0.0</v>
      </c>
      <c r="S51" s="113">
        <v>0.0</v>
      </c>
      <c r="T51" s="43">
        <v>2.0</v>
      </c>
      <c r="U51" s="42"/>
      <c r="V51" s="42"/>
      <c r="W51" s="42"/>
      <c r="X51" s="42"/>
      <c r="Y51" s="42"/>
      <c r="Z51" s="42"/>
    </row>
    <row r="52" ht="12.0" customHeight="1">
      <c r="A52" s="42"/>
      <c r="B52" s="42" t="s">
        <v>186</v>
      </c>
      <c r="C52" s="42" t="s">
        <v>188</v>
      </c>
      <c r="D52" s="106">
        <f t="shared" ref="D52:G52" si="69">H52+L52+P52</f>
        <v>3.059613901</v>
      </c>
      <c r="E52" s="106">
        <f t="shared" si="69"/>
        <v>50.92179685</v>
      </c>
      <c r="F52" s="106">
        <f t="shared" si="69"/>
        <v>24.13159215</v>
      </c>
      <c r="G52" s="107">
        <f t="shared" si="69"/>
        <v>0.0000001763273309</v>
      </c>
      <c r="H52" s="108">
        <v>3.042895242259463</v>
      </c>
      <c r="I52" s="108">
        <v>50.66434900230913</v>
      </c>
      <c r="J52" s="108">
        <v>24.071886939173794</v>
      </c>
      <c r="K52" s="109">
        <v>1.7367349884236387E-7</v>
      </c>
      <c r="L52" s="110">
        <v>0.016718659097463465</v>
      </c>
      <c r="M52" s="110">
        <v>0.2574478436124139</v>
      </c>
      <c r="N52" s="110">
        <v>0.05970520828821331</v>
      </c>
      <c r="O52" s="111">
        <v>2.6538320510285953E-9</v>
      </c>
      <c r="P52" s="112">
        <v>0.0</v>
      </c>
      <c r="Q52" s="112">
        <v>0.0</v>
      </c>
      <c r="R52" s="112">
        <v>0.0</v>
      </c>
      <c r="S52" s="113">
        <v>0.0</v>
      </c>
      <c r="T52" s="43">
        <v>2.0</v>
      </c>
      <c r="U52" s="42"/>
      <c r="V52" s="42"/>
      <c r="W52" s="42"/>
      <c r="X52" s="42"/>
      <c r="Y52" s="42"/>
      <c r="Z52" s="42"/>
    </row>
    <row r="53" ht="12.0" customHeight="1">
      <c r="A53" s="42"/>
      <c r="B53" s="42" t="s">
        <v>186</v>
      </c>
      <c r="C53" s="42" t="s">
        <v>189</v>
      </c>
      <c r="D53" s="106">
        <f t="shared" ref="D53:G53" si="70">H53+L53+P53</f>
        <v>6.394</v>
      </c>
      <c r="E53" s="106">
        <f t="shared" si="70"/>
        <v>73.1978244</v>
      </c>
      <c r="F53" s="106">
        <f t="shared" si="70"/>
        <v>37.719</v>
      </c>
      <c r="G53" s="107">
        <f t="shared" si="70"/>
        <v>0.00000049331</v>
      </c>
      <c r="H53" s="108">
        <f>1.68+4.38</f>
        <v>6.06</v>
      </c>
      <c r="I53" s="108">
        <f>41.868*(0.476+1.26)</f>
        <v>72.682848</v>
      </c>
      <c r="J53" s="108">
        <f>1000*(0.0151+0.0225)</f>
        <v>37.6</v>
      </c>
      <c r="K53" s="109">
        <f>1.5*10^-7+3.38*10^-7</f>
        <v>0.000000488</v>
      </c>
      <c r="L53" s="110">
        <v>0.334</v>
      </c>
      <c r="M53" s="110">
        <f>41.868*0.0123</f>
        <v>0.5149764</v>
      </c>
      <c r="N53" s="110">
        <f>1000*0.000119</f>
        <v>0.119</v>
      </c>
      <c r="O53" s="111">
        <f>5.31*10^-9</f>
        <v>0.00000000531</v>
      </c>
      <c r="P53" s="112">
        <v>0.0</v>
      </c>
      <c r="Q53" s="112">
        <v>0.0</v>
      </c>
      <c r="R53" s="112">
        <f t="shared" ref="R53:R71" si="72">1.06*Q53</f>
        <v>0</v>
      </c>
      <c r="S53" s="113">
        <v>0.0</v>
      </c>
      <c r="T53" s="43">
        <v>2.0</v>
      </c>
      <c r="U53" s="42"/>
      <c r="V53" s="42"/>
      <c r="W53" s="42"/>
      <c r="X53" s="42"/>
      <c r="Y53" s="42"/>
      <c r="Z53" s="42"/>
    </row>
    <row r="54" ht="12.0" customHeight="1">
      <c r="A54" s="42"/>
      <c r="B54" s="42" t="s">
        <v>186</v>
      </c>
      <c r="C54" s="42" t="s">
        <v>190</v>
      </c>
      <c r="D54" s="106">
        <f t="shared" ref="D54:G54" si="71">H54+L54+P54</f>
        <v>6.9402</v>
      </c>
      <c r="E54" s="106">
        <f t="shared" si="71"/>
        <v>83.5434072</v>
      </c>
      <c r="F54" s="106">
        <f t="shared" si="71"/>
        <v>45.379</v>
      </c>
      <c r="G54" s="107">
        <f t="shared" si="71"/>
        <v>0.00000056996</v>
      </c>
      <c r="H54" s="108">
        <f>2.51+4.38</f>
        <v>6.89</v>
      </c>
      <c r="I54" s="108">
        <f>41.868*(0.717+1.26)</f>
        <v>82.773036</v>
      </c>
      <c r="J54" s="108">
        <f>1000*(0.0227+0.0225)</f>
        <v>45.2</v>
      </c>
      <c r="K54" s="109">
        <f>2.24*10^-7+3.38*10^-7</f>
        <v>0.000000562</v>
      </c>
      <c r="L54" s="110">
        <f>0.0502</f>
        <v>0.0502</v>
      </c>
      <c r="M54" s="110">
        <f>41.868*0.0184</f>
        <v>0.7703712</v>
      </c>
      <c r="N54" s="110">
        <f>1000*0.000179</f>
        <v>0.179</v>
      </c>
      <c r="O54" s="111">
        <f>7.96*10^-9</f>
        <v>0.00000000796</v>
      </c>
      <c r="P54" s="112">
        <v>0.0</v>
      </c>
      <c r="Q54" s="112">
        <v>0.0</v>
      </c>
      <c r="R54" s="112">
        <f t="shared" si="72"/>
        <v>0</v>
      </c>
      <c r="S54" s="113">
        <v>0.0</v>
      </c>
      <c r="T54" s="43">
        <v>2.0</v>
      </c>
      <c r="U54" s="42"/>
      <c r="V54" s="42"/>
      <c r="W54" s="42"/>
      <c r="X54" s="42"/>
      <c r="Y54" s="42"/>
      <c r="Z54" s="42"/>
    </row>
    <row r="55" ht="12.0" customHeight="1">
      <c r="A55" s="42"/>
      <c r="B55" s="42" t="s">
        <v>186</v>
      </c>
      <c r="C55" s="42" t="s">
        <v>191</v>
      </c>
      <c r="D55" s="106">
        <f t="shared" ref="D55:G55" si="73">H55+L55+P55</f>
        <v>4.214</v>
      </c>
      <c r="E55" s="106">
        <f t="shared" si="73"/>
        <v>61.1398404</v>
      </c>
      <c r="F55" s="106">
        <f t="shared" si="73"/>
        <v>31.719</v>
      </c>
      <c r="G55" s="107">
        <f t="shared" si="73"/>
        <v>0.00000025411</v>
      </c>
      <c r="H55" s="108">
        <f>1.68+2.2</f>
        <v>3.88</v>
      </c>
      <c r="I55" s="108">
        <f>41.868*(0.476+0.972)</f>
        <v>60.624864</v>
      </c>
      <c r="J55" s="108">
        <f>1000*(0.0151+0.0165)</f>
        <v>31.6</v>
      </c>
      <c r="K55" s="109">
        <f>1.5*10^-7+9.88*10^-8</f>
        <v>0.0000002488</v>
      </c>
      <c r="L55" s="110">
        <v>0.334</v>
      </c>
      <c r="M55" s="110">
        <f>41.868*0.0123</f>
        <v>0.5149764</v>
      </c>
      <c r="N55" s="110">
        <f>1000*0.000119</f>
        <v>0.119</v>
      </c>
      <c r="O55" s="111">
        <f>5.31*10^-9</f>
        <v>0.00000000531</v>
      </c>
      <c r="P55" s="112">
        <v>0.0</v>
      </c>
      <c r="Q55" s="112">
        <v>0.0</v>
      </c>
      <c r="R55" s="112">
        <f t="shared" si="72"/>
        <v>0</v>
      </c>
      <c r="S55" s="113">
        <v>0.0</v>
      </c>
      <c r="T55" s="43">
        <v>2.0</v>
      </c>
      <c r="U55" s="42"/>
      <c r="V55" s="42"/>
      <c r="W55" s="42"/>
      <c r="X55" s="42"/>
      <c r="Y55" s="42"/>
      <c r="Z55" s="42"/>
    </row>
    <row r="56" ht="12.0" customHeight="1">
      <c r="A56" s="42"/>
      <c r="B56" s="42" t="s">
        <v>186</v>
      </c>
      <c r="C56" s="42" t="s">
        <v>192</v>
      </c>
      <c r="D56" s="106">
        <f t="shared" ref="D56:G56" si="74">H56+L56+P56</f>
        <v>4.7602</v>
      </c>
      <c r="E56" s="106">
        <f t="shared" si="74"/>
        <v>71.3598192</v>
      </c>
      <c r="F56" s="106">
        <f t="shared" si="74"/>
        <v>39.379</v>
      </c>
      <c r="G56" s="107">
        <f t="shared" si="74"/>
        <v>0.00000033076</v>
      </c>
      <c r="H56" s="108">
        <f>2.51+2.2</f>
        <v>4.71</v>
      </c>
      <c r="I56" s="108">
        <f>41.868*(0.714+0.972)</f>
        <v>70.589448</v>
      </c>
      <c r="J56" s="108">
        <f>1000*(0.0227+0.0165)</f>
        <v>39.2</v>
      </c>
      <c r="K56" s="109">
        <f>2.24*10^-7+9.88*10^-8</f>
        <v>0.0000003228</v>
      </c>
      <c r="L56" s="110">
        <f>0.0502</f>
        <v>0.0502</v>
      </c>
      <c r="M56" s="110">
        <f>41.868*0.0184</f>
        <v>0.7703712</v>
      </c>
      <c r="N56" s="110">
        <f>1000*0.000179</f>
        <v>0.179</v>
      </c>
      <c r="O56" s="111">
        <f>7.96*10^-9</f>
        <v>0.00000000796</v>
      </c>
      <c r="P56" s="112">
        <v>0.0</v>
      </c>
      <c r="Q56" s="112">
        <v>0.0</v>
      </c>
      <c r="R56" s="112">
        <f t="shared" si="72"/>
        <v>0</v>
      </c>
      <c r="S56" s="113">
        <v>0.0</v>
      </c>
      <c r="T56" s="43">
        <v>2.0</v>
      </c>
      <c r="U56" s="42"/>
      <c r="V56" s="42"/>
      <c r="W56" s="42"/>
      <c r="X56" s="42"/>
      <c r="Y56" s="42"/>
      <c r="Z56" s="42"/>
    </row>
    <row r="57" ht="12.0" customHeight="1">
      <c r="A57" s="42"/>
      <c r="B57" s="42" t="s">
        <v>193</v>
      </c>
      <c r="C57" s="42" t="s">
        <v>194</v>
      </c>
      <c r="D57" s="106">
        <f t="shared" ref="D57:G57" si="75">H57+L57+P57</f>
        <v>641.2938881</v>
      </c>
      <c r="E57" s="106">
        <f t="shared" si="75"/>
        <v>6611.394744</v>
      </c>
      <c r="F57" s="106">
        <f t="shared" si="75"/>
        <v>7712.533015</v>
      </c>
      <c r="G57" s="107">
        <f t="shared" si="75"/>
        <v>0.00002470686</v>
      </c>
      <c r="H57" s="108">
        <v>578.5913581</v>
      </c>
      <c r="I57" s="108">
        <v>5633.763444</v>
      </c>
      <c r="J57" s="108">
        <v>6897.960965</v>
      </c>
      <c r="K57" s="109">
        <f>2.19448*10^-5</f>
        <v>0.0000219448</v>
      </c>
      <c r="L57" s="110">
        <v>17.38741</v>
      </c>
      <c r="M57" s="110">
        <v>267.7458</v>
      </c>
      <c r="N57" s="110">
        <v>62.09342</v>
      </c>
      <c r="O57" s="111">
        <f>2.76*10^-6</f>
        <v>0.00000276</v>
      </c>
      <c r="P57" s="112">
        <v>45.31512</v>
      </c>
      <c r="Q57" s="112">
        <v>709.8855</v>
      </c>
      <c r="R57" s="112">
        <f t="shared" si="72"/>
        <v>752.47863</v>
      </c>
      <c r="S57" s="113">
        <f>2.06*10^-9</f>
        <v>0.00000000206</v>
      </c>
      <c r="T57" s="43">
        <v>1.0</v>
      </c>
      <c r="U57" s="42"/>
      <c r="V57" s="42"/>
      <c r="W57" s="42"/>
      <c r="X57" s="42"/>
      <c r="Y57" s="42"/>
      <c r="Z57" s="42"/>
    </row>
    <row r="58" ht="12.0" customHeight="1">
      <c r="A58" s="42"/>
      <c r="B58" s="42" t="s">
        <v>193</v>
      </c>
      <c r="C58" s="42" t="s">
        <v>195</v>
      </c>
      <c r="D58" s="106">
        <f t="shared" ref="D58:G58" si="76">H58+L58+P58</f>
        <v>1.5473</v>
      </c>
      <c r="E58" s="106">
        <f t="shared" si="76"/>
        <v>17.5510656</v>
      </c>
      <c r="F58" s="106">
        <f t="shared" si="76"/>
        <v>9.54215064</v>
      </c>
      <c r="G58" s="107">
        <f t="shared" si="76"/>
        <v>0.0000000035561</v>
      </c>
      <c r="H58" s="108">
        <v>1.13</v>
      </c>
      <c r="I58" s="108">
        <f>41.868*0.278</f>
        <v>11.639304</v>
      </c>
      <c r="J58" s="108">
        <f>1000*0.00356</f>
        <v>3.56</v>
      </c>
      <c r="K58" s="109">
        <f>0</f>
        <v>0</v>
      </c>
      <c r="L58" s="110">
        <v>0.0223</v>
      </c>
      <c r="M58" s="110">
        <f t="shared" ref="M58:M60" si="78">41.868*0.0082</f>
        <v>0.3433176</v>
      </c>
      <c r="N58" s="110">
        <f t="shared" ref="N58:N60" si="79">1000*7.96*10^-5</f>
        <v>0.0796</v>
      </c>
      <c r="O58" s="111">
        <f t="shared" ref="O58:O60" si="80">3.54*10^-9</f>
        <v>0.00000000354</v>
      </c>
      <c r="P58" s="112">
        <f t="shared" ref="P58:P60" si="81">0.395</f>
        <v>0.395</v>
      </c>
      <c r="Q58" s="112">
        <f t="shared" ref="Q58:Q60" si="82">41.868*0.133</f>
        <v>5.568444</v>
      </c>
      <c r="R58" s="112">
        <f t="shared" si="72"/>
        <v>5.90255064</v>
      </c>
      <c r="S58" s="113">
        <f t="shared" ref="S58:S60" si="83">1.61*10^-11</f>
        <v>0</v>
      </c>
      <c r="T58" s="43">
        <v>1.0</v>
      </c>
      <c r="U58" s="42"/>
      <c r="V58" s="42"/>
      <c r="W58" s="42"/>
      <c r="X58" s="42"/>
      <c r="Y58" s="42"/>
      <c r="Z58" s="42"/>
    </row>
    <row r="59" ht="12.0" customHeight="1">
      <c r="A59" s="42"/>
      <c r="B59" s="42" t="s">
        <v>193</v>
      </c>
      <c r="C59" s="42" t="s">
        <v>30</v>
      </c>
      <c r="D59" s="106">
        <f t="shared" ref="D59:G59" si="77">H59+L59+P59</f>
        <v>0.9745</v>
      </c>
      <c r="E59" s="106">
        <f t="shared" si="77"/>
        <v>12.8055116</v>
      </c>
      <c r="F59" s="106">
        <f t="shared" si="77"/>
        <v>7.93455064</v>
      </c>
      <c r="G59" s="107">
        <f t="shared" si="77"/>
        <v>0.00000000356834</v>
      </c>
      <c r="H59" s="108">
        <v>0.5572</v>
      </c>
      <c r="I59" s="108">
        <v>6.89375</v>
      </c>
      <c r="J59" s="108">
        <v>1.9524</v>
      </c>
      <c r="K59" s="109">
        <f>1.224*10^-11</f>
        <v>0</v>
      </c>
      <c r="L59" s="110">
        <v>0.0223</v>
      </c>
      <c r="M59" s="110">
        <f t="shared" si="78"/>
        <v>0.3433176</v>
      </c>
      <c r="N59" s="110">
        <f t="shared" si="79"/>
        <v>0.0796</v>
      </c>
      <c r="O59" s="111">
        <f t="shared" si="80"/>
        <v>0.00000000354</v>
      </c>
      <c r="P59" s="112">
        <f t="shared" si="81"/>
        <v>0.395</v>
      </c>
      <c r="Q59" s="112">
        <f t="shared" si="82"/>
        <v>5.568444</v>
      </c>
      <c r="R59" s="112">
        <f t="shared" si="72"/>
        <v>5.90255064</v>
      </c>
      <c r="S59" s="113">
        <f t="shared" si="83"/>
        <v>0</v>
      </c>
      <c r="T59" s="43">
        <v>1.0</v>
      </c>
      <c r="U59" s="42"/>
      <c r="V59" s="42"/>
      <c r="W59" s="42"/>
      <c r="X59" s="42"/>
      <c r="Y59" s="42"/>
      <c r="Z59" s="42"/>
    </row>
    <row r="60" ht="12.0" customHeight="1">
      <c r="A60" s="42"/>
      <c r="B60" s="42" t="s">
        <v>193</v>
      </c>
      <c r="C60" s="42" t="s">
        <v>196</v>
      </c>
      <c r="D60" s="106">
        <f t="shared" ref="D60:G60" si="84">H60+L60+P60</f>
        <v>0.743839</v>
      </c>
      <c r="E60" s="106">
        <f t="shared" si="84"/>
        <v>8.3770786</v>
      </c>
      <c r="F60" s="106">
        <f t="shared" si="84"/>
        <v>6.05635064</v>
      </c>
      <c r="G60" s="107">
        <f t="shared" si="84"/>
        <v>0.00000000356042684</v>
      </c>
      <c r="H60" s="108">
        <v>0.326539</v>
      </c>
      <c r="I60" s="108">
        <v>2.465317</v>
      </c>
      <c r="J60" s="108">
        <v>0.0742</v>
      </c>
      <c r="K60" s="109">
        <f>4.32684*10^-12</f>
        <v>0</v>
      </c>
      <c r="L60" s="110">
        <v>0.0223</v>
      </c>
      <c r="M60" s="110">
        <f t="shared" si="78"/>
        <v>0.3433176</v>
      </c>
      <c r="N60" s="110">
        <f t="shared" si="79"/>
        <v>0.0796</v>
      </c>
      <c r="O60" s="111">
        <f t="shared" si="80"/>
        <v>0.00000000354</v>
      </c>
      <c r="P60" s="112">
        <f t="shared" si="81"/>
        <v>0.395</v>
      </c>
      <c r="Q60" s="112">
        <f t="shared" si="82"/>
        <v>5.568444</v>
      </c>
      <c r="R60" s="112">
        <f t="shared" si="72"/>
        <v>5.90255064</v>
      </c>
      <c r="S60" s="113">
        <f t="shared" si="83"/>
        <v>0</v>
      </c>
      <c r="T60" s="43">
        <v>1.0</v>
      </c>
      <c r="U60" s="42"/>
      <c r="V60" s="42"/>
      <c r="W60" s="42"/>
      <c r="X60" s="42"/>
      <c r="Y60" s="42"/>
      <c r="Z60" s="42"/>
    </row>
    <row r="61" ht="12.0" customHeight="1">
      <c r="A61" s="42"/>
      <c r="B61" s="42" t="s">
        <v>197</v>
      </c>
      <c r="C61" s="42" t="s">
        <v>198</v>
      </c>
      <c r="D61" s="106">
        <f t="shared" ref="D61:G61" si="85">H61+L61+P61</f>
        <v>797.6825026</v>
      </c>
      <c r="E61" s="106">
        <f t="shared" si="85"/>
        <v>9334.919503</v>
      </c>
      <c r="F61" s="106">
        <f t="shared" si="85"/>
        <v>11075.61589</v>
      </c>
      <c r="G61" s="107">
        <f t="shared" si="85"/>
        <v>0.000017853</v>
      </c>
      <c r="H61" s="108">
        <v>422.3816826</v>
      </c>
      <c r="I61" s="108">
        <v>3459.626203</v>
      </c>
      <c r="J61" s="108">
        <v>5038.822819</v>
      </c>
      <c r="K61" s="109">
        <f>1.54566*10^-5</f>
        <v>0.0000154566</v>
      </c>
      <c r="L61" s="110">
        <v>14.97992</v>
      </c>
      <c r="M61" s="110">
        <v>230.6733</v>
      </c>
      <c r="N61" s="110">
        <v>53.49587</v>
      </c>
      <c r="O61" s="111">
        <f>2.38*10^-6</f>
        <v>0.00000238</v>
      </c>
      <c r="P61" s="112">
        <v>360.3209</v>
      </c>
      <c r="Q61" s="112">
        <v>5644.62</v>
      </c>
      <c r="R61" s="112">
        <f t="shared" si="72"/>
        <v>5983.2972</v>
      </c>
      <c r="S61" s="113">
        <f>1.64*10^-8</f>
        <v>0.0000000164</v>
      </c>
      <c r="T61" s="43">
        <v>1.0</v>
      </c>
      <c r="U61" s="42"/>
      <c r="V61" s="42"/>
      <c r="W61" s="42"/>
      <c r="X61" s="42"/>
      <c r="Y61" s="42"/>
      <c r="Z61" s="42"/>
    </row>
    <row r="62" ht="12.0" customHeight="1">
      <c r="A62" s="42"/>
      <c r="B62" s="42" t="s">
        <v>197</v>
      </c>
      <c r="C62" s="42" t="s">
        <v>199</v>
      </c>
      <c r="D62" s="106">
        <f t="shared" ref="D62:G62" si="86">H62+L62+P62</f>
        <v>1.6837</v>
      </c>
      <c r="E62" s="106">
        <f t="shared" si="86"/>
        <v>19.47196944</v>
      </c>
      <c r="F62" s="106">
        <f t="shared" si="86"/>
        <v>11.57830871</v>
      </c>
      <c r="G62" s="107">
        <f t="shared" si="86"/>
        <v>0.000000003561772</v>
      </c>
      <c r="H62" s="108">
        <v>1.13</v>
      </c>
      <c r="I62" s="108">
        <f>41.868*0.278</f>
        <v>11.639304</v>
      </c>
      <c r="J62" s="108">
        <f>1000*0.00356</f>
        <v>3.56</v>
      </c>
      <c r="K62" s="109">
        <f>0</f>
        <v>0</v>
      </c>
      <c r="L62" s="110">
        <v>0.0223</v>
      </c>
      <c r="M62" s="110">
        <f t="shared" ref="M62:M64" si="88">41.868*0.0082</f>
        <v>0.3433176</v>
      </c>
      <c r="N62" s="110">
        <f t="shared" ref="N62:N64" si="89">1000*7.96*10^-5</f>
        <v>0.0796</v>
      </c>
      <c r="O62" s="111">
        <f t="shared" ref="O62:O64" si="90">3.54*10^-9</f>
        <v>0.00000000354</v>
      </c>
      <c r="P62" s="112">
        <f t="shared" ref="P62:P64" si="91">0.521+0.0104</f>
        <v>0.5314</v>
      </c>
      <c r="Q62" s="112">
        <f t="shared" ref="Q62:Q64" si="92">41.868*(0.175+0.00388)</f>
        <v>7.48934784</v>
      </c>
      <c r="R62" s="112">
        <f t="shared" si="72"/>
        <v>7.93870871</v>
      </c>
      <c r="S62" s="113">
        <f t="shared" ref="S62:S64" si="93">2.13*10^-11+4.72*10^-13</f>
        <v>0</v>
      </c>
      <c r="T62" s="43">
        <v>1.0</v>
      </c>
      <c r="U62" s="42"/>
      <c r="V62" s="42"/>
      <c r="W62" s="42"/>
      <c r="X62" s="42"/>
      <c r="Y62" s="42"/>
      <c r="Z62" s="42"/>
    </row>
    <row r="63" ht="12.0" customHeight="1">
      <c r="A63" s="42"/>
      <c r="B63" s="42" t="s">
        <v>197</v>
      </c>
      <c r="C63" s="42" t="s">
        <v>200</v>
      </c>
      <c r="D63" s="106">
        <f t="shared" ref="D63:G63" si="87">H63+L63+P63</f>
        <v>1.1109</v>
      </c>
      <c r="E63" s="106">
        <f t="shared" si="87"/>
        <v>14.72641544</v>
      </c>
      <c r="F63" s="106">
        <f t="shared" si="87"/>
        <v>9.97070871</v>
      </c>
      <c r="G63" s="107">
        <f t="shared" si="87"/>
        <v>0.000000003573972</v>
      </c>
      <c r="H63" s="108">
        <v>0.5572</v>
      </c>
      <c r="I63" s="108">
        <v>6.89375</v>
      </c>
      <c r="J63" s="108">
        <v>1.9524</v>
      </c>
      <c r="K63" s="109">
        <f>1.22*10^-11</f>
        <v>0</v>
      </c>
      <c r="L63" s="110">
        <v>0.0223</v>
      </c>
      <c r="M63" s="110">
        <f t="shared" si="88"/>
        <v>0.3433176</v>
      </c>
      <c r="N63" s="110">
        <f t="shared" si="89"/>
        <v>0.0796</v>
      </c>
      <c r="O63" s="111">
        <f t="shared" si="90"/>
        <v>0.00000000354</v>
      </c>
      <c r="P63" s="112">
        <f t="shared" si="91"/>
        <v>0.5314</v>
      </c>
      <c r="Q63" s="112">
        <f t="shared" si="92"/>
        <v>7.48934784</v>
      </c>
      <c r="R63" s="112">
        <f t="shared" si="72"/>
        <v>7.93870871</v>
      </c>
      <c r="S63" s="113">
        <f t="shared" si="93"/>
        <v>0</v>
      </c>
      <c r="T63" s="43">
        <v>1.0</v>
      </c>
      <c r="U63" s="42"/>
      <c r="V63" s="42"/>
      <c r="W63" s="42"/>
      <c r="X63" s="42"/>
      <c r="Y63" s="42"/>
      <c r="Z63" s="42"/>
    </row>
    <row r="64" ht="12.0" customHeight="1">
      <c r="A64" s="42"/>
      <c r="B64" s="42" t="s">
        <v>197</v>
      </c>
      <c r="C64" s="42" t="s">
        <v>201</v>
      </c>
      <c r="D64" s="106">
        <f t="shared" ref="D64:G64" si="94">H64+L64+P64</f>
        <v>0.880239</v>
      </c>
      <c r="E64" s="106">
        <f t="shared" si="94"/>
        <v>10.29798244</v>
      </c>
      <c r="F64" s="106">
        <f t="shared" si="94"/>
        <v>8.09250871</v>
      </c>
      <c r="G64" s="107">
        <f t="shared" si="94"/>
        <v>0.00000000356609884</v>
      </c>
      <c r="H64" s="108">
        <v>0.326539</v>
      </c>
      <c r="I64" s="108">
        <v>2.465317</v>
      </c>
      <c r="J64" s="108">
        <v>0.0742</v>
      </c>
      <c r="K64" s="109">
        <f>4.32684*10^-12</f>
        <v>0</v>
      </c>
      <c r="L64" s="110">
        <v>0.0223</v>
      </c>
      <c r="M64" s="110">
        <f t="shared" si="88"/>
        <v>0.3433176</v>
      </c>
      <c r="N64" s="110">
        <f t="shared" si="89"/>
        <v>0.0796</v>
      </c>
      <c r="O64" s="111">
        <f t="shared" si="90"/>
        <v>0.00000000354</v>
      </c>
      <c r="P64" s="112">
        <f t="shared" si="91"/>
        <v>0.5314</v>
      </c>
      <c r="Q64" s="112">
        <f t="shared" si="92"/>
        <v>7.48934784</v>
      </c>
      <c r="R64" s="112">
        <f t="shared" si="72"/>
        <v>7.93870871</v>
      </c>
      <c r="S64" s="113">
        <f t="shared" si="93"/>
        <v>0</v>
      </c>
      <c r="T64" s="43">
        <v>1.0</v>
      </c>
      <c r="U64" s="42"/>
      <c r="V64" s="42"/>
      <c r="W64" s="42"/>
      <c r="X64" s="42"/>
      <c r="Y64" s="42"/>
      <c r="Z64" s="42"/>
    </row>
    <row r="65" ht="12.0" customHeight="1">
      <c r="A65" s="42"/>
      <c r="B65" s="116" t="s">
        <v>23</v>
      </c>
      <c r="C65" s="116" t="s">
        <v>202</v>
      </c>
      <c r="D65" s="117">
        <f t="shared" ref="D65:G65" si="95">H65+L65+P65</f>
        <v>1.5607</v>
      </c>
      <c r="E65" s="117">
        <f t="shared" si="95"/>
        <v>16.2573444</v>
      </c>
      <c r="F65" s="117">
        <f t="shared" si="95"/>
        <v>4.829</v>
      </c>
      <c r="G65" s="118">
        <f t="shared" si="95"/>
        <v>0.00000000487</v>
      </c>
      <c r="H65" s="119">
        <v>1.53</v>
      </c>
      <c r="I65" s="119">
        <f>41.868*0.377</f>
        <v>15.784236</v>
      </c>
      <c r="J65" s="119">
        <f>1000*0.00472</f>
        <v>4.72</v>
      </c>
      <c r="K65" s="120">
        <f>0</f>
        <v>0</v>
      </c>
      <c r="L65" s="121">
        <v>0.0307</v>
      </c>
      <c r="M65" s="121">
        <f>41.868*0.0113</f>
        <v>0.4731084</v>
      </c>
      <c r="N65" s="121">
        <f>1000*0.000109</f>
        <v>0.109</v>
      </c>
      <c r="O65" s="122">
        <f>4.87*10^-9</f>
        <v>0.00000000487</v>
      </c>
      <c r="P65" s="123">
        <v>0.0</v>
      </c>
      <c r="Q65" s="123">
        <v>0.0</v>
      </c>
      <c r="R65" s="123">
        <f t="shared" si="72"/>
        <v>0</v>
      </c>
      <c r="S65" s="124">
        <v>0.0</v>
      </c>
      <c r="T65" s="43">
        <v>1.0</v>
      </c>
      <c r="U65" s="42"/>
      <c r="V65" s="42"/>
      <c r="W65" s="42"/>
      <c r="X65" s="42"/>
      <c r="Y65" s="42"/>
      <c r="Z65" s="42"/>
    </row>
    <row r="66" ht="12.0" customHeight="1">
      <c r="A66" s="42"/>
      <c r="B66" s="116" t="s">
        <v>23</v>
      </c>
      <c r="C66" s="116" t="s">
        <v>203</v>
      </c>
      <c r="D66" s="117">
        <f t="shared" ref="D66:G66" si="96">H66+L66+P66</f>
        <v>2.3046</v>
      </c>
      <c r="E66" s="117">
        <f t="shared" si="96"/>
        <v>23.9233752</v>
      </c>
      <c r="F66" s="117">
        <f t="shared" si="96"/>
        <v>7.119</v>
      </c>
      <c r="G66" s="118">
        <f t="shared" si="96"/>
        <v>0.00000000708</v>
      </c>
      <c r="H66" s="119">
        <v>2.26</v>
      </c>
      <c r="I66" s="119">
        <f>41.868*0.555</f>
        <v>23.23674</v>
      </c>
      <c r="J66" s="119">
        <f>1000*0.00696</f>
        <v>6.96</v>
      </c>
      <c r="K66" s="120">
        <v>0.0</v>
      </c>
      <c r="L66" s="121">
        <f>0.0446</f>
        <v>0.0446</v>
      </c>
      <c r="M66" s="121">
        <f>41.868*0.0164</f>
        <v>0.6866352</v>
      </c>
      <c r="N66" s="121">
        <f>1000*0.000159</f>
        <v>0.159</v>
      </c>
      <c r="O66" s="122">
        <f>7.08*10^-9</f>
        <v>0.00000000708</v>
      </c>
      <c r="P66" s="123">
        <v>0.0</v>
      </c>
      <c r="Q66" s="123">
        <v>0.0</v>
      </c>
      <c r="R66" s="123">
        <f t="shared" si="72"/>
        <v>0</v>
      </c>
      <c r="S66" s="124">
        <v>0.0</v>
      </c>
      <c r="T66" s="43">
        <v>1.0</v>
      </c>
      <c r="U66" s="42"/>
      <c r="V66" s="42"/>
      <c r="W66" s="42"/>
      <c r="X66" s="42"/>
      <c r="Y66" s="42"/>
      <c r="Z66" s="42"/>
    </row>
    <row r="67" ht="12.0" customHeight="1">
      <c r="A67" s="42"/>
      <c r="B67" s="42" t="s">
        <v>23</v>
      </c>
      <c r="C67" s="42" t="s">
        <v>24</v>
      </c>
      <c r="D67" s="106">
        <f t="shared" ref="D67:G67" si="97">H67+L67+P67</f>
        <v>3.4023</v>
      </c>
      <c r="E67" s="106">
        <f t="shared" si="97"/>
        <v>27.1807056</v>
      </c>
      <c r="F67" s="106">
        <f t="shared" si="97"/>
        <v>19.0796</v>
      </c>
      <c r="G67" s="107">
        <f t="shared" si="97"/>
        <v>0.00000000354</v>
      </c>
      <c r="H67" s="108">
        <v>3.38</v>
      </c>
      <c r="I67" s="108">
        <f>0.641*41.868</f>
        <v>26.837388</v>
      </c>
      <c r="J67" s="108">
        <f>0.019*1000</f>
        <v>19</v>
      </c>
      <c r="K67" s="109">
        <v>0.0</v>
      </c>
      <c r="L67" s="110">
        <v>0.0223</v>
      </c>
      <c r="M67" s="110">
        <f t="shared" ref="M67:M70" si="99">0.0082*41.868</f>
        <v>0.3433176</v>
      </c>
      <c r="N67" s="110">
        <f t="shared" ref="N67:N70" si="100">7.96*10^-5*1000</f>
        <v>0.0796</v>
      </c>
      <c r="O67" s="111">
        <f t="shared" ref="O67:O70" si="101">3.54*10^-9</f>
        <v>0.00000000354</v>
      </c>
      <c r="P67" s="112">
        <v>0.0</v>
      </c>
      <c r="Q67" s="112">
        <v>0.0</v>
      </c>
      <c r="R67" s="112">
        <f t="shared" si="72"/>
        <v>0</v>
      </c>
      <c r="S67" s="113">
        <v>0.0</v>
      </c>
      <c r="T67" s="43">
        <v>1.0</v>
      </c>
      <c r="U67" s="42"/>
      <c r="V67" s="42"/>
      <c r="W67" s="42"/>
      <c r="X67" s="42"/>
      <c r="Y67" s="42"/>
      <c r="Z67" s="42"/>
    </row>
    <row r="68" ht="12.0" customHeight="1">
      <c r="A68" s="42"/>
      <c r="B68" s="42" t="s">
        <v>23</v>
      </c>
      <c r="C68" s="42" t="s">
        <v>204</v>
      </c>
      <c r="D68" s="106">
        <f t="shared" ref="D68:G68" si="98">H68+L68+P68</f>
        <v>1.0043</v>
      </c>
      <c r="E68" s="106">
        <f t="shared" si="98"/>
        <v>12.6525096</v>
      </c>
      <c r="F68" s="106">
        <f t="shared" si="98"/>
        <v>76.0796</v>
      </c>
      <c r="G68" s="107">
        <f t="shared" si="98"/>
        <v>0.00000019354</v>
      </c>
      <c r="H68" s="108">
        <v>0.982</v>
      </c>
      <c r="I68" s="108">
        <f>0.294*41.868</f>
        <v>12.309192</v>
      </c>
      <c r="J68" s="108">
        <f>1000*0.076</f>
        <v>76</v>
      </c>
      <c r="K68" s="109">
        <f>1.9*10^-7</f>
        <v>0.00000019</v>
      </c>
      <c r="L68" s="110">
        <v>0.0223</v>
      </c>
      <c r="M68" s="110">
        <f t="shared" si="99"/>
        <v>0.3433176</v>
      </c>
      <c r="N68" s="110">
        <f t="shared" si="100"/>
        <v>0.0796</v>
      </c>
      <c r="O68" s="111">
        <f t="shared" si="101"/>
        <v>0.00000000354</v>
      </c>
      <c r="P68" s="112">
        <v>0.0</v>
      </c>
      <c r="Q68" s="112">
        <v>0.0</v>
      </c>
      <c r="R68" s="112">
        <f t="shared" si="72"/>
        <v>0</v>
      </c>
      <c r="S68" s="113">
        <v>0.0</v>
      </c>
      <c r="T68" s="43">
        <v>1.0</v>
      </c>
      <c r="U68" s="42"/>
      <c r="V68" s="42"/>
      <c r="W68" s="42"/>
      <c r="X68" s="42"/>
      <c r="Y68" s="42"/>
      <c r="Z68" s="42"/>
    </row>
    <row r="69" ht="12.0" customHeight="1">
      <c r="A69" s="42"/>
      <c r="B69" s="42" t="s">
        <v>23</v>
      </c>
      <c r="C69" s="42" t="s">
        <v>205</v>
      </c>
      <c r="D69" s="106">
        <f t="shared" ref="D69:G69" si="102">H69+L69+P69</f>
        <v>3.4023</v>
      </c>
      <c r="E69" s="106">
        <f t="shared" si="102"/>
        <v>27.1807056</v>
      </c>
      <c r="F69" s="106">
        <f t="shared" si="102"/>
        <v>19.0796</v>
      </c>
      <c r="G69" s="107">
        <f t="shared" si="102"/>
        <v>0.00000000354</v>
      </c>
      <c r="H69" s="108">
        <v>3.38</v>
      </c>
      <c r="I69" s="108">
        <f>0.641*41.868</f>
        <v>26.837388</v>
      </c>
      <c r="J69" s="108">
        <f>0.019*1000</f>
        <v>19</v>
      </c>
      <c r="K69" s="109">
        <v>0.0</v>
      </c>
      <c r="L69" s="110">
        <v>0.0223</v>
      </c>
      <c r="M69" s="110">
        <f t="shared" si="99"/>
        <v>0.3433176</v>
      </c>
      <c r="N69" s="110">
        <f t="shared" si="100"/>
        <v>0.0796</v>
      </c>
      <c r="O69" s="111">
        <f t="shared" si="101"/>
        <v>0.00000000354</v>
      </c>
      <c r="P69" s="112">
        <v>0.0</v>
      </c>
      <c r="Q69" s="112">
        <v>0.0</v>
      </c>
      <c r="R69" s="112">
        <f t="shared" si="72"/>
        <v>0</v>
      </c>
      <c r="S69" s="113">
        <v>0.0</v>
      </c>
      <c r="T69" s="43">
        <v>1.0</v>
      </c>
      <c r="U69" s="42"/>
      <c r="V69" s="42"/>
      <c r="W69" s="42"/>
      <c r="X69" s="42"/>
      <c r="Y69" s="42"/>
      <c r="Z69" s="42"/>
    </row>
    <row r="70" ht="12.0" customHeight="1">
      <c r="A70" s="42"/>
      <c r="B70" s="42" t="s">
        <v>23</v>
      </c>
      <c r="C70" s="42" t="s">
        <v>206</v>
      </c>
      <c r="D70" s="106">
        <f t="shared" ref="D70:G70" si="103">H70+L70+P70</f>
        <v>2.5023</v>
      </c>
      <c r="E70" s="106">
        <f t="shared" si="103"/>
        <v>80.3111976</v>
      </c>
      <c r="F70" s="106">
        <f t="shared" si="103"/>
        <v>0.0796</v>
      </c>
      <c r="G70" s="107">
        <f t="shared" si="103"/>
        <v>0.00000000354634</v>
      </c>
      <c r="H70" s="108">
        <v>2.48</v>
      </c>
      <c r="I70" s="108">
        <f>1.91*41.868</f>
        <v>79.96788</v>
      </c>
      <c r="J70" s="108">
        <v>0.0</v>
      </c>
      <c r="K70" s="109">
        <f>6.34*10^-12</f>
        <v>0</v>
      </c>
      <c r="L70" s="110">
        <v>0.0223</v>
      </c>
      <c r="M70" s="110">
        <f t="shared" si="99"/>
        <v>0.3433176</v>
      </c>
      <c r="N70" s="110">
        <f t="shared" si="100"/>
        <v>0.0796</v>
      </c>
      <c r="O70" s="111">
        <f t="shared" si="101"/>
        <v>0.00000000354</v>
      </c>
      <c r="P70" s="112">
        <v>0.0</v>
      </c>
      <c r="Q70" s="112">
        <v>0.0</v>
      </c>
      <c r="R70" s="112">
        <f t="shared" si="72"/>
        <v>0</v>
      </c>
      <c r="S70" s="113">
        <v>0.0</v>
      </c>
      <c r="T70" s="43">
        <v>1.0</v>
      </c>
      <c r="U70" s="42"/>
      <c r="V70" s="42"/>
      <c r="W70" s="42"/>
      <c r="X70" s="42"/>
      <c r="Y70" s="42"/>
      <c r="Z70" s="42"/>
    </row>
    <row r="71" ht="12.0" customHeight="1">
      <c r="A71" s="42"/>
      <c r="B71" s="42" t="s">
        <v>23</v>
      </c>
      <c r="C71" s="42" t="s">
        <v>207</v>
      </c>
      <c r="D71" s="106">
        <f t="shared" ref="D71:G71" si="104">H71+L71+P71</f>
        <v>6.870914634</v>
      </c>
      <c r="E71" s="106">
        <f t="shared" si="104"/>
        <v>136.7833933</v>
      </c>
      <c r="F71" s="106">
        <f t="shared" si="104"/>
        <v>68.78885366</v>
      </c>
      <c r="G71" s="107">
        <f t="shared" si="104"/>
        <v>0.00000006788506098</v>
      </c>
      <c r="H71" s="108">
        <f>8.9098/3.28</f>
        <v>2.716402439</v>
      </c>
      <c r="I71" s="108">
        <f>257.01853/3.28</f>
        <v>78.35930793</v>
      </c>
      <c r="J71" s="108">
        <f>23.3505/3.28</f>
        <v>7.119054878</v>
      </c>
      <c r="K71" s="109">
        <f>2.11509*10^-7/3.28</f>
        <v>0.00000006448445122</v>
      </c>
      <c r="L71" s="110">
        <f>0.0668/3.28</f>
        <v>0.02036585366</v>
      </c>
      <c r="M71" s="110">
        <f>1.029/3.28</f>
        <v>0.3137195122</v>
      </c>
      <c r="N71" s="110">
        <f>0.23882/3.28</f>
        <v>0.07281097561</v>
      </c>
      <c r="O71" s="111">
        <f>1.06*10^-8/3.28</f>
        <v>0.000000003231707317</v>
      </c>
      <c r="P71" s="112">
        <f>13.56/3.28</f>
        <v>4.134146341</v>
      </c>
      <c r="Q71" s="112">
        <f>190.602/3.28</f>
        <v>58.11036585</v>
      </c>
      <c r="R71" s="112">
        <f t="shared" si="72"/>
        <v>61.5969878</v>
      </c>
      <c r="S71" s="113">
        <f>5.54*10^-10/3.28</f>
        <v>0.000000000168902439</v>
      </c>
      <c r="T71" s="43">
        <v>1.0</v>
      </c>
      <c r="U71" s="42"/>
      <c r="V71" s="42"/>
      <c r="W71" s="42"/>
      <c r="X71" s="42"/>
      <c r="Y71" s="42"/>
      <c r="Z71" s="42"/>
    </row>
    <row r="72" ht="12.0" customHeight="1">
      <c r="A72" s="42"/>
      <c r="B72" s="116" t="s">
        <v>23</v>
      </c>
      <c r="C72" s="116" t="s">
        <v>208</v>
      </c>
      <c r="D72" s="117">
        <f t="shared" ref="D72:G72" si="105">H72+L72+P72</f>
        <v>0.06870914634</v>
      </c>
      <c r="E72" s="117">
        <f t="shared" si="105"/>
        <v>1.367833933</v>
      </c>
      <c r="F72" s="117">
        <f t="shared" si="105"/>
        <v>0.07379661548</v>
      </c>
      <c r="G72" s="118">
        <f t="shared" si="105"/>
        <v>0.0000000006788506098</v>
      </c>
      <c r="H72" s="119">
        <f>8.9098*0.1/3.28/VLOOKUP('Construction and Materials'!$C$5,'LCA Data'!$B$115:$N$119,13,FALSE)</f>
        <v>0.02716402439</v>
      </c>
      <c r="I72" s="119">
        <f>257.01853*0.1/3.28/VLOOKUP('Construction and Materials'!$C$5,'LCA Data'!$B$115:$N$119,13,FALSE)</f>
        <v>0.7835930793</v>
      </c>
      <c r="J72" s="119">
        <f>23.3505*0.1/3.28/VLOOKUP('Construction and Materials'!$C$5,'LCA Data'!$B$115:$N$119,13,FALSE)</f>
        <v>0.07119054878</v>
      </c>
      <c r="K72" s="120">
        <f>2.11509*10^-7*0.1/3.28/VLOOKUP('Construction and Materials'!$C$5,'LCA Data'!$B$115:$N$119,13,FALSE)</f>
        <v>0.0000000006448445122</v>
      </c>
      <c r="L72" s="121">
        <f>0.0668*0.1/3.28/VLOOKUP('Construction and Materials'!$C$5,'LCA Data'!$B$115:$N$119,13,FALSE)</f>
        <v>0.0002036585366</v>
      </c>
      <c r="M72" s="121">
        <f>1.029*0.1/3.28/VLOOKUP('Construction and Materials'!$C$5,'LCA Data'!$B$115:$N$119,13,FALSE)</f>
        <v>0.003137195122</v>
      </c>
      <c r="N72" s="121">
        <f>0.23882*0.1/3.28/VLOOKUP('Construction and Materials'!$C$5,'LCA Data'!$B$115:$N$119,13,FALSE)</f>
        <v>0.0007281097561</v>
      </c>
      <c r="O72" s="122">
        <f>1.06*10^-8*0.1/3.28/VLOOKUP('Construction and Materials'!$C$5,'LCA Data'!$B$115:$N$119,13,FALSE)</f>
        <v>0</v>
      </c>
      <c r="P72" s="123">
        <f>13.56*0.1/3.28/VLOOKUP('Construction and Materials'!$C$5,'LCA Data'!$B$115:$N$119,13,FALSE)</f>
        <v>0.04134146341</v>
      </c>
      <c r="Q72" s="123">
        <f>190.602*0.1/3.28/VLOOKUP('Construction and Materials'!$C$5,'LCA Data'!$B$115:$N$119,13,FALSE)</f>
        <v>0.5811036585</v>
      </c>
      <c r="R72" s="123">
        <f>1.06*Q72*0.1/3.28/VLOOKUP('Construction and Materials'!$C$5,'LCA Data'!$B$115:$N$119,13,FALSE)</f>
        <v>0.001877956945</v>
      </c>
      <c r="S72" s="124">
        <f>5.54*10^-10*0.1/3.28/VLOOKUP('Construction and Materials'!$C$5,'LCA Data'!$B$115:$N$119,13,FALSE)</f>
        <v>0</v>
      </c>
      <c r="T72" s="125">
        <v>1.0</v>
      </c>
      <c r="U72" s="42"/>
      <c r="V72" s="42"/>
      <c r="W72" s="42"/>
      <c r="X72" s="42"/>
      <c r="Y72" s="42"/>
      <c r="Z72" s="42"/>
    </row>
    <row r="73" ht="12.0" customHeight="1">
      <c r="A73" s="42"/>
      <c r="B73" s="42" t="s">
        <v>23</v>
      </c>
      <c r="C73" s="42" t="s">
        <v>26</v>
      </c>
      <c r="D73" s="106">
        <f t="shared" ref="D73:G73" si="106">H73+L73+P73</f>
        <v>4036.439289</v>
      </c>
      <c r="E73" s="106">
        <f t="shared" si="106"/>
        <v>50516.98888</v>
      </c>
      <c r="F73" s="106">
        <f t="shared" si="106"/>
        <v>30488.95175</v>
      </c>
      <c r="G73" s="107">
        <f t="shared" si="106"/>
        <v>0.00031703</v>
      </c>
      <c r="H73" s="108">
        <f>804.0977*5</f>
        <v>4020.4885</v>
      </c>
      <c r="I73" s="108">
        <f>10054.41*5</f>
        <v>50272.05</v>
      </c>
      <c r="J73" s="108">
        <f>6086.388*5</f>
        <v>30431.94</v>
      </c>
      <c r="K73" s="109">
        <f>6.29*10^-5*5</f>
        <v>0.0003145</v>
      </c>
      <c r="L73" s="110">
        <f>3.19*5</f>
        <v>15.95</v>
      </c>
      <c r="M73" s="110">
        <f>1.17*41.868*5</f>
        <v>244.9278</v>
      </c>
      <c r="N73" s="110">
        <f>0.0114*1000*5</f>
        <v>57</v>
      </c>
      <c r="O73" s="111">
        <f>5.06*10^-7*5</f>
        <v>0.00000253</v>
      </c>
      <c r="P73" s="112">
        <f t="shared" ref="P73:Q73" si="107">P77/2/7</f>
        <v>0.0007885714286</v>
      </c>
      <c r="Q73" s="112">
        <f t="shared" si="107"/>
        <v>0.01108142857</v>
      </c>
      <c r="R73" s="112">
        <f t="shared" ref="R73:R74" si="110">1.06*Q73</f>
        <v>0.01174631429</v>
      </c>
      <c r="S73" s="112">
        <f>S77/2/7</f>
        <v>0</v>
      </c>
      <c r="T73" s="43">
        <v>2.0</v>
      </c>
      <c r="U73" s="42"/>
      <c r="V73" s="42"/>
      <c r="W73" s="42"/>
      <c r="X73" s="42"/>
      <c r="Y73" s="42"/>
      <c r="Z73" s="42"/>
    </row>
    <row r="74" ht="12.0" customHeight="1">
      <c r="A74" s="42"/>
      <c r="B74" s="42" t="s">
        <v>23</v>
      </c>
      <c r="C74" s="42" t="s">
        <v>209</v>
      </c>
      <c r="D74" s="106">
        <f t="shared" ref="D74:G74" si="108">H74+L74+P74</f>
        <v>6278.254278</v>
      </c>
      <c r="E74" s="106">
        <f t="shared" si="108"/>
        <v>76663.76129</v>
      </c>
      <c r="F74" s="106">
        <f t="shared" si="108"/>
        <v>41313.55744</v>
      </c>
      <c r="G74" s="107">
        <f t="shared" si="108"/>
        <v>0.0004136702642</v>
      </c>
      <c r="H74" s="108">
        <f t="shared" ref="H74:Q74" si="109">H78/H77*H73</f>
        <v>6254.214013</v>
      </c>
      <c r="I74" s="108">
        <f t="shared" si="109"/>
        <v>76294.59653</v>
      </c>
      <c r="J74" s="108">
        <f t="shared" si="109"/>
        <v>41227.63014</v>
      </c>
      <c r="K74" s="109">
        <f t="shared" si="109"/>
        <v>0.0004098537234</v>
      </c>
      <c r="L74" s="110">
        <f t="shared" si="109"/>
        <v>24.03913987</v>
      </c>
      <c r="M74" s="110">
        <f t="shared" si="109"/>
        <v>369.1489311</v>
      </c>
      <c r="N74" s="110">
        <f t="shared" si="109"/>
        <v>85.91052256</v>
      </c>
      <c r="O74" s="111">
        <f t="shared" si="109"/>
        <v>0.000003816540747</v>
      </c>
      <c r="P74" s="112">
        <f t="shared" si="109"/>
        <v>0.001125</v>
      </c>
      <c r="Q74" s="112">
        <f t="shared" si="109"/>
        <v>0.01582857143</v>
      </c>
      <c r="R74" s="112">
        <f t="shared" si="110"/>
        <v>0.01677828571</v>
      </c>
      <c r="S74" s="112">
        <f>S78/S77*S73</f>
        <v>0</v>
      </c>
      <c r="T74" s="43">
        <v>2.0</v>
      </c>
      <c r="U74" s="42"/>
      <c r="V74" s="42"/>
      <c r="W74" s="42"/>
      <c r="X74" s="42"/>
      <c r="Y74" s="42"/>
      <c r="Z74" s="42"/>
    </row>
    <row r="75" ht="12.0" customHeight="1">
      <c r="A75" s="42"/>
      <c r="B75" s="42" t="s">
        <v>23</v>
      </c>
      <c r="C75" s="42" t="s">
        <v>210</v>
      </c>
      <c r="D75" s="106">
        <f t="shared" ref="D75:G75" si="111">H75+L75+P75</f>
        <v>3362.558104</v>
      </c>
      <c r="E75" s="106">
        <f t="shared" si="111"/>
        <v>42945.57653</v>
      </c>
      <c r="F75" s="106">
        <f t="shared" si="111"/>
        <v>54067.11192</v>
      </c>
      <c r="G75" s="107">
        <f t="shared" si="111"/>
        <v>0.0004854016091</v>
      </c>
      <c r="H75" s="108">
        <v>3342.5321462569063</v>
      </c>
      <c r="I75" s="108">
        <v>42637.22990196539</v>
      </c>
      <c r="J75" s="108">
        <v>53995.67463352967</v>
      </c>
      <c r="K75" s="109">
        <v>4.8222629815552635E-4</v>
      </c>
      <c r="L75" s="110">
        <v>20.003875711434233</v>
      </c>
      <c r="M75" s="110">
        <v>308.03634607490216</v>
      </c>
      <c r="N75" s="110">
        <v>71.43728218421727</v>
      </c>
      <c r="O75" s="111">
        <v>3.1753100570603056E-6</v>
      </c>
      <c r="P75" s="112">
        <v>0.02208240240101874</v>
      </c>
      <c r="Q75" s="112">
        <v>0.31028231852213956</v>
      </c>
      <c r="R75" s="112">
        <v>0.0</v>
      </c>
      <c r="S75" s="112">
        <v>9.010977121766346E-13</v>
      </c>
      <c r="T75" s="43">
        <v>2.0</v>
      </c>
      <c r="U75" s="42"/>
      <c r="V75" s="42"/>
      <c r="W75" s="42"/>
      <c r="X75" s="42"/>
      <c r="Y75" s="42"/>
      <c r="Z75" s="42"/>
    </row>
    <row r="76" ht="12.0" customHeight="1">
      <c r="A76" s="42"/>
      <c r="B76" s="42" t="s">
        <v>23</v>
      </c>
      <c r="C76" s="42" t="s">
        <v>211</v>
      </c>
      <c r="D76" s="106">
        <f t="shared" ref="D76:G76" si="112">H76+L76+P76</f>
        <v>4051.668916</v>
      </c>
      <c r="E76" s="106">
        <f t="shared" si="112"/>
        <v>50824.50712</v>
      </c>
      <c r="F76" s="106">
        <f t="shared" si="112"/>
        <v>30995.46949</v>
      </c>
      <c r="G76" s="107">
        <f t="shared" si="112"/>
        <v>0.0003149466595</v>
      </c>
      <c r="H76" s="108">
        <f t="shared" ref="H76:Q76" si="113">H79/H77*H73</f>
        <v>4034.773907</v>
      </c>
      <c r="I76" s="108">
        <f t="shared" si="113"/>
        <v>50565.06989</v>
      </c>
      <c r="J76" s="108">
        <f t="shared" si="113"/>
        <v>30935.08309</v>
      </c>
      <c r="K76" s="109">
        <f t="shared" si="113"/>
        <v>0.0003122695035</v>
      </c>
      <c r="L76" s="110">
        <f t="shared" si="113"/>
        <v>16.89422335</v>
      </c>
      <c r="M76" s="110">
        <f t="shared" si="113"/>
        <v>259.4261492</v>
      </c>
      <c r="N76" s="110">
        <f t="shared" si="113"/>
        <v>60.37466299</v>
      </c>
      <c r="O76" s="111">
        <f t="shared" si="113"/>
        <v>0.000002677155931</v>
      </c>
      <c r="P76" s="112">
        <f t="shared" si="113"/>
        <v>0.0007857142857</v>
      </c>
      <c r="Q76" s="112">
        <f t="shared" si="113"/>
        <v>0.01107142857</v>
      </c>
      <c r="R76" s="112">
        <f t="shared" ref="R76:R82" si="115">1.06*Q76</f>
        <v>0.01173571429</v>
      </c>
      <c r="S76" s="112">
        <f>S79/S77*S73</f>
        <v>0</v>
      </c>
      <c r="T76" s="43">
        <v>2.0</v>
      </c>
      <c r="U76" s="42"/>
      <c r="V76" s="42"/>
      <c r="W76" s="42"/>
      <c r="X76" s="42"/>
      <c r="Y76" s="42"/>
      <c r="Z76" s="42"/>
    </row>
    <row r="77" ht="12.0" customHeight="1">
      <c r="A77" s="42"/>
      <c r="B77" s="116" t="s">
        <v>23</v>
      </c>
      <c r="C77" s="116" t="s">
        <v>212</v>
      </c>
      <c r="D77" s="117">
        <f t="shared" ref="D77:G77" si="114">H77+L77+P77</f>
        <v>733.03299</v>
      </c>
      <c r="E77" s="117">
        <f t="shared" si="114"/>
        <v>10293.68314</v>
      </c>
      <c r="F77" s="117">
        <f t="shared" si="114"/>
        <v>5561.549948</v>
      </c>
      <c r="G77" s="118">
        <f t="shared" si="114"/>
        <v>0.00005798765545</v>
      </c>
      <c r="H77" s="119">
        <f>1446.04/2</f>
        <v>723.02</v>
      </c>
      <c r="I77" s="119">
        <f>20279.02/2</f>
        <v>10139.51</v>
      </c>
      <c r="J77" s="119">
        <f>11051.334/2</f>
        <v>5525.667</v>
      </c>
      <c r="K77" s="120">
        <f>0.0001128/2</f>
        <v>0.0000564</v>
      </c>
      <c r="L77" s="121">
        <f>20.0039/2</f>
        <v>10.00195</v>
      </c>
      <c r="M77" s="121">
        <f>308.036/2</f>
        <v>154.018</v>
      </c>
      <c r="N77" s="121">
        <f>71.437/2</f>
        <v>35.7185</v>
      </c>
      <c r="O77" s="122">
        <f>3.17531*10^-6/2</f>
        <v>0.000001587655</v>
      </c>
      <c r="P77" s="123">
        <f>0.02208/2</f>
        <v>0.01104</v>
      </c>
      <c r="Q77" s="123">
        <f>0.31028/2</f>
        <v>0.15514</v>
      </c>
      <c r="R77" s="123">
        <f t="shared" si="115"/>
        <v>0.1644484</v>
      </c>
      <c r="S77" s="124">
        <f>9.01098*10^-13/2</f>
        <v>0</v>
      </c>
      <c r="T77" s="125">
        <v>2.0</v>
      </c>
      <c r="U77" s="42"/>
      <c r="V77" s="42"/>
      <c r="W77" s="42"/>
      <c r="X77" s="42"/>
      <c r="Y77" s="42"/>
      <c r="Z77" s="42"/>
    </row>
    <row r="78" ht="12.0" customHeight="1">
      <c r="A78" s="42"/>
      <c r="B78" s="116" t="s">
        <v>23</v>
      </c>
      <c r="C78" s="116" t="s">
        <v>213</v>
      </c>
      <c r="D78" s="117">
        <f t="shared" ref="D78:G78" si="116">H78+L78+P78</f>
        <v>1139.80975</v>
      </c>
      <c r="E78" s="117">
        <f t="shared" si="116"/>
        <v>15620.4236</v>
      </c>
      <c r="F78" s="117">
        <f t="shared" si="116"/>
        <v>7539.959896</v>
      </c>
      <c r="G78" s="118">
        <f t="shared" si="116"/>
        <v>0.00007589500064</v>
      </c>
      <c r="H78" s="119">
        <f>2249.439/2</f>
        <v>1124.7195</v>
      </c>
      <c r="I78" s="119">
        <f>30776.14/2</f>
        <v>15388.07</v>
      </c>
      <c r="J78" s="119">
        <f>14971.78/2</f>
        <v>7485.89</v>
      </c>
      <c r="K78" s="120">
        <f>0.000147/2</f>
        <v>0.0000735</v>
      </c>
      <c r="L78" s="121">
        <f>30.149/2</f>
        <v>15.0745</v>
      </c>
      <c r="M78" s="121">
        <f>464.264/2</f>
        <v>232.132</v>
      </c>
      <c r="N78" s="121">
        <f>107.67/2</f>
        <v>53.835</v>
      </c>
      <c r="O78" s="122">
        <f>4.79*10^-6/2</f>
        <v>0.000002395</v>
      </c>
      <c r="P78" s="123">
        <f>0.0315/2</f>
        <v>0.01575</v>
      </c>
      <c r="Q78" s="123">
        <f>0.4432/2</f>
        <v>0.2216</v>
      </c>
      <c r="R78" s="123">
        <f t="shared" si="115"/>
        <v>0.234896</v>
      </c>
      <c r="S78" s="124">
        <f>1.287*10^-12/2</f>
        <v>0</v>
      </c>
      <c r="T78" s="125">
        <v>2.0</v>
      </c>
      <c r="U78" s="42"/>
      <c r="V78" s="42"/>
      <c r="W78" s="42"/>
      <c r="X78" s="42"/>
      <c r="Y78" s="42"/>
      <c r="Z78" s="42"/>
    </row>
    <row r="79" ht="12.0" customHeight="1">
      <c r="A79" s="42"/>
      <c r="B79" s="116" t="s">
        <v>23</v>
      </c>
      <c r="C79" s="116" t="s">
        <v>214</v>
      </c>
      <c r="D79" s="117">
        <f t="shared" ref="D79:G79" si="117">H79+L79+P79</f>
        <v>736.194055</v>
      </c>
      <c r="E79" s="117">
        <f t="shared" si="117"/>
        <v>10361.9</v>
      </c>
      <c r="F79" s="117">
        <f t="shared" si="117"/>
        <v>5655.0225</v>
      </c>
      <c r="G79" s="118">
        <f t="shared" si="117"/>
        <v>0.00005768000045</v>
      </c>
      <c r="H79" s="119">
        <f>1451.178/2</f>
        <v>725.589</v>
      </c>
      <c r="I79" s="119">
        <f>20397.22/2</f>
        <v>10198.61</v>
      </c>
      <c r="J79" s="119">
        <f>11234.05/2</f>
        <v>5617.025</v>
      </c>
      <c r="K79" s="120">
        <f>0.000112/2</f>
        <v>0.000056</v>
      </c>
      <c r="L79" s="121">
        <f>21.18811/2</f>
        <v>10.594055</v>
      </c>
      <c r="M79" s="121">
        <f>326.27/2</f>
        <v>163.135</v>
      </c>
      <c r="N79" s="121">
        <f>75.6664/2</f>
        <v>37.8332</v>
      </c>
      <c r="O79" s="122">
        <f>3.36*10^-6/2</f>
        <v>0.00000168</v>
      </c>
      <c r="P79" s="123">
        <f>0.022/2</f>
        <v>0.011</v>
      </c>
      <c r="Q79" s="123">
        <f>0.31/2</f>
        <v>0.155</v>
      </c>
      <c r="R79" s="123">
        <f t="shared" si="115"/>
        <v>0.1643</v>
      </c>
      <c r="S79" s="124">
        <f>9.01*10^-13/2</f>
        <v>0</v>
      </c>
      <c r="T79" s="125">
        <v>2.0</v>
      </c>
      <c r="U79" s="42"/>
      <c r="V79" s="42"/>
      <c r="W79" s="42"/>
      <c r="X79" s="42"/>
      <c r="Y79" s="42"/>
      <c r="Z79" s="42"/>
    </row>
    <row r="80" ht="12.0" customHeight="1">
      <c r="A80" s="42"/>
      <c r="B80" s="116" t="s">
        <v>23</v>
      </c>
      <c r="C80" s="116" t="s">
        <v>215</v>
      </c>
      <c r="D80" s="117">
        <f t="shared" ref="D80:G80" si="118">H80+L80+P80</f>
        <v>62.1012</v>
      </c>
      <c r="E80" s="117">
        <f t="shared" si="118"/>
        <v>908.9710272</v>
      </c>
      <c r="F80" s="117">
        <f t="shared" si="118"/>
        <v>625.074</v>
      </c>
      <c r="G80" s="118">
        <f t="shared" si="118"/>
        <v>0.00000493776</v>
      </c>
      <c r="H80" s="119">
        <f>10.3*6</f>
        <v>61.8</v>
      </c>
      <c r="I80" s="119">
        <f>3.6*41.868*6</f>
        <v>904.3488</v>
      </c>
      <c r="J80" s="119">
        <f>0.104*1000*6</f>
        <v>624</v>
      </c>
      <c r="K80" s="120">
        <f>8.15*10^-7*6</f>
        <v>0.00000489</v>
      </c>
      <c r="L80" s="121">
        <f>0.0502*6</f>
        <v>0.3012</v>
      </c>
      <c r="M80" s="121">
        <f>0.0184*41.868*6</f>
        <v>4.6222272</v>
      </c>
      <c r="N80" s="121">
        <f>0.000179*1000*6</f>
        <v>1.074</v>
      </c>
      <c r="O80" s="122">
        <f>7.96*10^-9*6</f>
        <v>0.00000004776</v>
      </c>
      <c r="P80" s="123">
        <v>0.0</v>
      </c>
      <c r="Q80" s="123">
        <v>0.0</v>
      </c>
      <c r="R80" s="123">
        <f t="shared" si="115"/>
        <v>0</v>
      </c>
      <c r="S80" s="124">
        <v>0.0</v>
      </c>
      <c r="T80" s="125">
        <v>50.0</v>
      </c>
      <c r="U80" s="42"/>
      <c r="V80" s="42"/>
      <c r="W80" s="42"/>
      <c r="X80" s="42"/>
      <c r="Y80" s="42"/>
      <c r="Z80" s="42"/>
    </row>
    <row r="81" ht="12.0" customHeight="1">
      <c r="A81" s="42"/>
      <c r="B81" s="42" t="s">
        <v>23</v>
      </c>
      <c r="C81" s="42" t="s">
        <v>216</v>
      </c>
      <c r="D81" s="106">
        <f t="shared" ref="D81:G81" si="119">H81+L81+P81</f>
        <v>49.12986781</v>
      </c>
      <c r="E81" s="106">
        <f t="shared" si="119"/>
        <v>576.6265712</v>
      </c>
      <c r="F81" s="106">
        <f t="shared" si="119"/>
        <v>193.0318822</v>
      </c>
      <c r="G81" s="107">
        <f t="shared" si="119"/>
        <v>0.000007685340005</v>
      </c>
      <c r="H81" s="108">
        <v>48.629350479802625</v>
      </c>
      <c r="I81" s="108">
        <v>568.9199292944869</v>
      </c>
      <c r="J81" s="108">
        <v>191.2382232119053</v>
      </c>
      <c r="K81" s="109">
        <v>7.6059777666005766E-6</v>
      </c>
      <c r="L81" s="110">
        <v>0.499967521581994</v>
      </c>
      <c r="M81" s="110">
        <v>7.698916487385643</v>
      </c>
      <c r="N81" s="110">
        <v>1.7854700466357631</v>
      </c>
      <c r="O81" s="111">
        <v>7.936221576400171E-8</v>
      </c>
      <c r="P81" s="112">
        <v>5.498067536580177E-4</v>
      </c>
      <c r="Q81" s="112">
        <v>0.0077253965019798004</v>
      </c>
      <c r="R81" s="112">
        <f t="shared" si="115"/>
        <v>0.008188920292</v>
      </c>
      <c r="S81" s="113">
        <v>2.2435494058275383E-14</v>
      </c>
      <c r="T81" s="43">
        <v>2.0</v>
      </c>
      <c r="U81" s="42"/>
      <c r="V81" s="42"/>
      <c r="W81" s="42"/>
      <c r="X81" s="42"/>
      <c r="Y81" s="42"/>
      <c r="Z81" s="42"/>
    </row>
    <row r="82" ht="12.0" customHeight="1">
      <c r="A82" s="42"/>
      <c r="B82" s="42" t="s">
        <v>23</v>
      </c>
      <c r="C82" s="42" t="s">
        <v>217</v>
      </c>
      <c r="D82" s="106">
        <f t="shared" ref="D82:G82" si="120">H82+L82+P82</f>
        <v>70.627444</v>
      </c>
      <c r="E82" s="106">
        <f t="shared" si="120"/>
        <v>813.6252</v>
      </c>
      <c r="F82" s="106">
        <f t="shared" si="120"/>
        <v>291.3871</v>
      </c>
      <c r="G82" s="107">
        <f t="shared" si="120"/>
        <v>0.00001180100003</v>
      </c>
      <c r="H82" s="108">
        <v>69.9447</v>
      </c>
      <c r="I82" s="108">
        <v>803.1147</v>
      </c>
      <c r="J82" s="108">
        <v>288.94</v>
      </c>
      <c r="K82" s="109">
        <f>1.1693*10^-5</f>
        <v>0.000011693</v>
      </c>
      <c r="L82" s="110">
        <v>0.682</v>
      </c>
      <c r="M82" s="110">
        <v>10.5</v>
      </c>
      <c r="N82" s="110">
        <v>2.43597</v>
      </c>
      <c r="O82" s="111">
        <f>1.08*10^-7</f>
        <v>0.000000108</v>
      </c>
      <c r="P82" s="112">
        <f>0.000744</f>
        <v>0.000744</v>
      </c>
      <c r="Q82" s="112">
        <f>0.0105</f>
        <v>0.0105</v>
      </c>
      <c r="R82" s="112">
        <f t="shared" si="115"/>
        <v>0.01113</v>
      </c>
      <c r="S82" s="113">
        <f>3.04*10^-14</f>
        <v>0</v>
      </c>
      <c r="T82" s="43">
        <v>2.0</v>
      </c>
      <c r="U82" s="42"/>
      <c r="V82" s="42"/>
      <c r="W82" s="42"/>
      <c r="X82" s="42"/>
      <c r="Y82" s="42"/>
      <c r="Z82" s="42"/>
    </row>
    <row r="83" ht="12.0" customHeight="1">
      <c r="A83" s="42"/>
      <c r="B83" s="42" t="s">
        <v>23</v>
      </c>
      <c r="C83" s="42" t="s">
        <v>218</v>
      </c>
      <c r="D83" s="106">
        <f t="shared" ref="D83:G83" si="121">H83+L83+P83</f>
        <v>1.213966845</v>
      </c>
      <c r="E83" s="106">
        <f t="shared" si="121"/>
        <v>12.96830387</v>
      </c>
      <c r="F83" s="106">
        <f t="shared" si="121"/>
        <v>1.905743087</v>
      </c>
      <c r="G83" s="107">
        <f t="shared" si="121"/>
        <v>0.00000007677419421</v>
      </c>
      <c r="H83" s="108">
        <f>186.469/155</f>
        <v>1.203025806</v>
      </c>
      <c r="I83" s="108">
        <f>1983.973/155</f>
        <v>12.79982581</v>
      </c>
      <c r="J83" s="108">
        <f>289.34/155</f>
        <v>1.866709677</v>
      </c>
      <c r="K83" s="109">
        <f>1.19*10^-5/155</f>
        <v>0.00000007677419355</v>
      </c>
      <c r="L83" s="110">
        <f>1.694/155</f>
        <v>0.01092903226</v>
      </c>
      <c r="M83" s="110">
        <f>26.088/155</f>
        <v>0.1683096774</v>
      </c>
      <c r="N83" s="110">
        <f>6.05/155</f>
        <v>0.03903225806</v>
      </c>
      <c r="O83" s="111">
        <f>2.69*10^-14/155</f>
        <v>0</v>
      </c>
      <c r="P83" s="112">
        <f>0.001861/155</f>
        <v>0.00001200645161</v>
      </c>
      <c r="Q83" s="112">
        <f>0.0261/155</f>
        <v>0.0001683870968</v>
      </c>
      <c r="R83" s="112">
        <f>1.06*Q83/155</f>
        <v>0.000001151550468</v>
      </c>
      <c r="S83" s="113">
        <f>7.59*10^-14/155</f>
        <v>0</v>
      </c>
      <c r="T83" s="43">
        <v>2.0</v>
      </c>
      <c r="U83" s="42"/>
      <c r="V83" s="42"/>
      <c r="W83" s="42"/>
      <c r="X83" s="42"/>
      <c r="Y83" s="42"/>
      <c r="Z83" s="42"/>
    </row>
    <row r="84" ht="12.0" customHeight="1">
      <c r="A84" s="42"/>
      <c r="B84" s="42" t="s">
        <v>23</v>
      </c>
      <c r="C84" s="42" t="s">
        <v>219</v>
      </c>
      <c r="D84" s="106">
        <f t="shared" ref="D84:G84" si="122">H84+L84+P84</f>
        <v>0.4779621166</v>
      </c>
      <c r="E84" s="106">
        <f t="shared" si="122"/>
        <v>10.15485632</v>
      </c>
      <c r="F84" s="106">
        <f t="shared" si="122"/>
        <v>2.497326627</v>
      </c>
      <c r="G84" s="107">
        <f t="shared" si="122"/>
        <v>0.00000003030242873</v>
      </c>
      <c r="H84" s="108">
        <v>0.45247142546125946</v>
      </c>
      <c r="I84" s="108">
        <v>9.771512784152737</v>
      </c>
      <c r="J84" s="108">
        <v>2.430628944195102</v>
      </c>
      <c r="K84" s="109">
        <v>2.7337510671122507E-8</v>
      </c>
      <c r="L84" s="110">
        <v>0.018676692654679146</v>
      </c>
      <c r="M84" s="110">
        <v>0.28759927592379647</v>
      </c>
      <c r="N84" s="110">
        <v>0.06669768290941104</v>
      </c>
      <c r="O84" s="111">
        <v>2.9646400084101813E-9</v>
      </c>
      <c r="P84" s="112">
        <v>0.006813998455171497</v>
      </c>
      <c r="Q84" s="112">
        <v>0.09574425828683164</v>
      </c>
      <c r="R84" s="112">
        <v>0.0</v>
      </c>
      <c r="S84" s="113">
        <v>2.780530083287901E-13</v>
      </c>
      <c r="T84" s="43">
        <v>3.0</v>
      </c>
      <c r="U84" s="42"/>
      <c r="V84" s="42"/>
      <c r="W84" s="42"/>
      <c r="X84" s="42"/>
      <c r="Y84" s="42"/>
      <c r="Z84" s="42"/>
    </row>
    <row r="85" ht="12.0" customHeight="1">
      <c r="A85" s="42"/>
      <c r="B85" s="42" t="s">
        <v>23</v>
      </c>
      <c r="C85" s="42" t="s">
        <v>220</v>
      </c>
      <c r="D85" s="106">
        <f t="shared" ref="D85:G85" si="123">H85+L85+P85</f>
        <v>0.7953385819</v>
      </c>
      <c r="E85" s="106">
        <f t="shared" si="123"/>
        <v>5.848636988</v>
      </c>
      <c r="F85" s="106">
        <f t="shared" si="123"/>
        <v>8.562817197</v>
      </c>
      <c r="G85" s="107">
        <f t="shared" si="123"/>
        <v>0.00000004526256845</v>
      </c>
      <c r="H85" s="108">
        <v>0.7607233754712075</v>
      </c>
      <c r="I85" s="108">
        <v>5.340262238916784</v>
      </c>
      <c r="J85" s="108">
        <v>8.504541530457727</v>
      </c>
      <c r="K85" s="109">
        <v>4.2671531352303786E-8</v>
      </c>
      <c r="L85" s="110">
        <v>0.01631835876856514</v>
      </c>
      <c r="M85" s="110">
        <v>0.2512836852195335</v>
      </c>
      <c r="N85" s="110">
        <v>0.05827566702200904</v>
      </c>
      <c r="O85" s="111">
        <v>2.5902904730993337E-9</v>
      </c>
      <c r="P85" s="112">
        <v>0.018296847703701234</v>
      </c>
      <c r="Q85" s="112">
        <v>0.25709106391834413</v>
      </c>
      <c r="R85" s="112">
        <v>0.0</v>
      </c>
      <c r="S85" s="113">
        <v>7.466238186606396E-13</v>
      </c>
      <c r="T85" s="43">
        <v>1.0</v>
      </c>
      <c r="U85" s="42"/>
      <c r="V85" s="42"/>
      <c r="W85" s="42"/>
      <c r="X85" s="42"/>
      <c r="Y85" s="42"/>
      <c r="Z85" s="42"/>
    </row>
    <row r="86" ht="12.0" customHeight="1">
      <c r="A86" s="42"/>
      <c r="B86" s="42" t="s">
        <v>23</v>
      </c>
      <c r="C86" s="42" t="s">
        <v>221</v>
      </c>
      <c r="D86" s="106">
        <f t="shared" ref="D86:G86" si="124">H86+L86+P86</f>
        <v>2.479488</v>
      </c>
      <c r="E86" s="106">
        <f t="shared" si="124"/>
        <v>34.247334</v>
      </c>
      <c r="F86" s="106">
        <f t="shared" si="124"/>
        <v>16.20136604</v>
      </c>
      <c r="G86" s="107">
        <f t="shared" si="124"/>
        <v>0.0000001038700016</v>
      </c>
      <c r="H86" s="108">
        <v>2.4456</v>
      </c>
      <c r="I86" s="108">
        <v>33.7256</v>
      </c>
      <c r="J86" s="108">
        <v>16.08</v>
      </c>
      <c r="K86" s="109">
        <f>9.85*10^-8</f>
        <v>0.0000000985</v>
      </c>
      <c r="L86" s="110">
        <f>0.03385</f>
        <v>0.03385</v>
      </c>
      <c r="M86" s="110">
        <f>0.5212</f>
        <v>0.5212</v>
      </c>
      <c r="N86" s="110">
        <v>0.1208</v>
      </c>
      <c r="O86" s="111">
        <f>5.37*10^-9</f>
        <v>0.00000000537</v>
      </c>
      <c r="P86" s="112">
        <f>3.8*10^-5</f>
        <v>0.000038</v>
      </c>
      <c r="Q86" s="112">
        <f>0.000534</f>
        <v>0.000534</v>
      </c>
      <c r="R86" s="112">
        <f t="shared" ref="R86:R91" si="126">1.06*Q86</f>
        <v>0.00056604</v>
      </c>
      <c r="S86" s="113">
        <f>1.55*10^-15</f>
        <v>0</v>
      </c>
      <c r="T86" s="43">
        <v>2.0</v>
      </c>
      <c r="U86" s="42"/>
      <c r="V86" s="42"/>
      <c r="W86" s="42"/>
      <c r="X86" s="42"/>
      <c r="Y86" s="42"/>
      <c r="Z86" s="42"/>
    </row>
    <row r="87" ht="12.0" customHeight="1">
      <c r="A87" s="42"/>
      <c r="B87" s="42" t="s">
        <v>23</v>
      </c>
      <c r="C87" s="42" t="s">
        <v>222</v>
      </c>
      <c r="D87" s="106">
        <f t="shared" ref="D87:G87" si="125">H87+L87+P87</f>
        <v>0.3673724583</v>
      </c>
      <c r="E87" s="106">
        <f t="shared" si="125"/>
        <v>4.898721303</v>
      </c>
      <c r="F87" s="106">
        <f t="shared" si="125"/>
        <v>3.392328708</v>
      </c>
      <c r="G87" s="107">
        <f t="shared" si="125"/>
        <v>0.00000001161440843</v>
      </c>
      <c r="H87" s="108">
        <v>0.36291414917778825</v>
      </c>
      <c r="I87" s="108">
        <v>4.830068544691802</v>
      </c>
      <c r="J87" s="108">
        <v>3.3764073190520274</v>
      </c>
      <c r="K87" s="109">
        <v>1.0906719882574573E-8</v>
      </c>
      <c r="L87" s="110">
        <v>0.004458309087634869</v>
      </c>
      <c r="M87" s="110">
        <v>0.06865275820819952</v>
      </c>
      <c r="N87" s="110">
        <v>0.015921388835982153</v>
      </c>
      <c r="O87" s="111">
        <v>7.076885463667773E-10</v>
      </c>
      <c r="P87" s="112">
        <v>0.0</v>
      </c>
      <c r="Q87" s="112">
        <v>0.0</v>
      </c>
      <c r="R87" s="112">
        <f t="shared" si="126"/>
        <v>0</v>
      </c>
      <c r="S87" s="113">
        <v>0.0</v>
      </c>
      <c r="T87" s="43">
        <v>1.0</v>
      </c>
      <c r="U87" s="42"/>
      <c r="V87" s="42"/>
      <c r="W87" s="42"/>
      <c r="X87" s="42"/>
      <c r="Y87" s="42"/>
      <c r="Z87" s="42"/>
    </row>
    <row r="88" ht="12.0" customHeight="1">
      <c r="A88" s="42"/>
      <c r="B88" s="42" t="s">
        <v>23</v>
      </c>
      <c r="C88" s="42" t="s">
        <v>223</v>
      </c>
      <c r="D88" s="106">
        <f t="shared" ref="D88:G88" si="127">H88+L88+P88</f>
        <v>1.00170117</v>
      </c>
      <c r="E88" s="106">
        <f t="shared" si="127"/>
        <v>13.69082602</v>
      </c>
      <c r="F88" s="106">
        <f t="shared" si="127"/>
        <v>7.39980474</v>
      </c>
      <c r="G88" s="107">
        <f t="shared" si="127"/>
        <v>0.0000000334582804</v>
      </c>
      <c r="H88" s="108">
        <v>0.987768954</v>
      </c>
      <c r="I88" s="108">
        <v>13.476286155420002</v>
      </c>
      <c r="J88" s="108">
        <v>7.350050400000001</v>
      </c>
      <c r="K88" s="109">
        <v>3.12467537E-8</v>
      </c>
      <c r="L88" s="110">
        <v>0.013932216</v>
      </c>
      <c r="M88" s="110">
        <v>0.2145398674356</v>
      </c>
      <c r="N88" s="110">
        <v>0.04975434</v>
      </c>
      <c r="O88" s="111">
        <v>2.2115267E-9</v>
      </c>
      <c r="P88" s="112">
        <v>0.0</v>
      </c>
      <c r="Q88" s="112">
        <v>0.0</v>
      </c>
      <c r="R88" s="112">
        <f t="shared" si="126"/>
        <v>0</v>
      </c>
      <c r="S88" s="113">
        <v>0.0</v>
      </c>
      <c r="T88" s="43">
        <v>1.0</v>
      </c>
      <c r="U88" s="42"/>
      <c r="V88" s="42"/>
      <c r="W88" s="42"/>
      <c r="X88" s="42"/>
      <c r="Y88" s="42"/>
      <c r="Z88" s="42"/>
    </row>
    <row r="89" ht="12.0" customHeight="1">
      <c r="A89" s="42"/>
      <c r="B89" s="42" t="s">
        <v>224</v>
      </c>
      <c r="C89" s="42" t="s">
        <v>225</v>
      </c>
      <c r="D89" s="106">
        <f t="shared" ref="D89:G89" si="128">H89+L89+P89</f>
        <v>16.74639694</v>
      </c>
      <c r="E89" s="106">
        <f t="shared" si="128"/>
        <v>196.7589368</v>
      </c>
      <c r="F89" s="106">
        <f t="shared" si="128"/>
        <v>47.65877736</v>
      </c>
      <c r="G89" s="107">
        <f t="shared" si="128"/>
        <v>0.0000004724653156</v>
      </c>
      <c r="H89" s="108">
        <v>16.745895379820002</v>
      </c>
      <c r="I89" s="108">
        <v>196.75121334360048</v>
      </c>
      <c r="J89" s="108">
        <v>47.6569862</v>
      </c>
      <c r="K89" s="109">
        <v>4.7238570068200004E-7</v>
      </c>
      <c r="L89" s="110">
        <v>5.0155978E-4</v>
      </c>
      <c r="M89" s="110">
        <v>0.00772343517744</v>
      </c>
      <c r="N89" s="110">
        <v>0.0017911563</v>
      </c>
      <c r="O89" s="111">
        <v>7.9614962E-11</v>
      </c>
      <c r="P89" s="112">
        <v>0.0</v>
      </c>
      <c r="Q89" s="112">
        <v>0.0</v>
      </c>
      <c r="R89" s="112">
        <f t="shared" si="126"/>
        <v>0</v>
      </c>
      <c r="S89" s="113">
        <v>0.0</v>
      </c>
      <c r="T89" s="43">
        <v>2.0</v>
      </c>
      <c r="U89" s="42"/>
      <c r="V89" s="42"/>
      <c r="W89" s="42"/>
      <c r="X89" s="42"/>
      <c r="Y89" s="42"/>
      <c r="Z89" s="42"/>
    </row>
    <row r="90" ht="12.0" customHeight="1">
      <c r="A90" s="42"/>
      <c r="B90" s="42" t="s">
        <v>224</v>
      </c>
      <c r="C90" s="42" t="s">
        <v>226</v>
      </c>
      <c r="D90" s="106">
        <f t="shared" ref="D90:G90" si="129">H90+L90+P90</f>
        <v>5.268830297</v>
      </c>
      <c r="E90" s="106">
        <f t="shared" si="129"/>
        <v>52.38882687</v>
      </c>
      <c r="F90" s="106">
        <f t="shared" si="129"/>
        <v>44.26982777</v>
      </c>
      <c r="G90" s="107">
        <f t="shared" si="129"/>
        <v>0.000000004165567064</v>
      </c>
      <c r="H90" s="108">
        <v>3.90273710937332</v>
      </c>
      <c r="I90" s="108">
        <v>30.995142466714334</v>
      </c>
      <c r="J90" s="108">
        <v>21.9222554042104</v>
      </c>
      <c r="K90" s="109">
        <v>0.0</v>
      </c>
      <c r="L90" s="110">
        <v>0.025858192762647197</v>
      </c>
      <c r="M90" s="110">
        <v>0.3981859983552738</v>
      </c>
      <c r="N90" s="110">
        <v>0.09234405544993333</v>
      </c>
      <c r="O90" s="111">
        <v>4.104593574548564E-9</v>
      </c>
      <c r="P90" s="112">
        <v>1.3402349945339083</v>
      </c>
      <c r="Q90" s="112">
        <v>20.995498406114795</v>
      </c>
      <c r="R90" s="112">
        <f t="shared" si="126"/>
        <v>22.25522831</v>
      </c>
      <c r="S90" s="113">
        <v>6.097348914326969E-11</v>
      </c>
      <c r="T90" s="43">
        <v>1.0</v>
      </c>
      <c r="U90" s="42"/>
      <c r="V90" s="42"/>
      <c r="W90" s="42"/>
      <c r="X90" s="42"/>
      <c r="Y90" s="42"/>
      <c r="Z90" s="42"/>
    </row>
    <row r="91" ht="12.0" customHeight="1">
      <c r="A91" s="42"/>
      <c r="B91" s="42" t="s">
        <v>224</v>
      </c>
      <c r="C91" s="42" t="s">
        <v>227</v>
      </c>
      <c r="D91" s="106">
        <f t="shared" ref="D91:G91" si="130">H91+L91+P91</f>
        <v>0.093724</v>
      </c>
      <c r="E91" s="106">
        <f t="shared" si="130"/>
        <v>2.326437288</v>
      </c>
      <c r="F91" s="106">
        <f t="shared" si="130"/>
        <v>0.93459</v>
      </c>
      <c r="G91" s="107">
        <f t="shared" si="130"/>
        <v>0.000000018515</v>
      </c>
      <c r="H91" s="108">
        <v>0.093</v>
      </c>
      <c r="I91" s="108">
        <f>0.0553*41.868</f>
        <v>2.3153004</v>
      </c>
      <c r="J91" s="108">
        <f>0.000932*1000</f>
        <v>0.932</v>
      </c>
      <c r="K91" s="109">
        <f>1.84*10^-8</f>
        <v>0.0000000184</v>
      </c>
      <c r="L91" s="110">
        <v>7.24E-4</v>
      </c>
      <c r="M91" s="110">
        <f>0.000266*41.868</f>
        <v>0.011136888</v>
      </c>
      <c r="N91" s="110">
        <f>2.59*10^-6*1000</f>
        <v>0.00259</v>
      </c>
      <c r="O91" s="111">
        <f>1.15*10^-10</f>
        <v>0.000000000115</v>
      </c>
      <c r="P91" s="112">
        <v>0.0</v>
      </c>
      <c r="Q91" s="112">
        <v>0.0</v>
      </c>
      <c r="R91" s="112">
        <f t="shared" si="126"/>
        <v>0</v>
      </c>
      <c r="S91" s="113">
        <v>0.0</v>
      </c>
      <c r="T91" s="43">
        <v>1.0</v>
      </c>
      <c r="U91" s="42"/>
      <c r="V91" s="42"/>
      <c r="W91" s="42"/>
      <c r="X91" s="42"/>
      <c r="Y91" s="42"/>
      <c r="Z91" s="42"/>
    </row>
    <row r="92" ht="12.0" customHeight="1">
      <c r="A92" s="42"/>
      <c r="B92" s="42" t="s">
        <v>224</v>
      </c>
      <c r="C92" s="42" t="s">
        <v>228</v>
      </c>
      <c r="D92" s="106">
        <f t="shared" ref="D92:G92" si="131">H92+L92+P92</f>
        <v>0.7783188346</v>
      </c>
      <c r="E92" s="106">
        <f t="shared" si="131"/>
        <v>7.703768836</v>
      </c>
      <c r="F92" s="106">
        <f t="shared" si="131"/>
        <v>3.272801986</v>
      </c>
      <c r="G92" s="107">
        <f t="shared" si="131"/>
        <v>0.0000000003890990611</v>
      </c>
      <c r="H92" s="108">
        <v>0.5811217737378269</v>
      </c>
      <c r="I92" s="108">
        <v>4.615210213430424</v>
      </c>
      <c r="J92" s="108">
        <v>3.264247523675518</v>
      </c>
      <c r="K92" s="109">
        <v>0.0</v>
      </c>
      <c r="L92" s="110">
        <v>0.002395421613390616</v>
      </c>
      <c r="M92" s="110">
        <v>0.03688669797479293</v>
      </c>
      <c r="N92" s="110">
        <v>0.008554462731534936</v>
      </c>
      <c r="O92" s="111">
        <v>3.802366334301901E-10</v>
      </c>
      <c r="P92" s="112">
        <v>0.19480163920833993</v>
      </c>
      <c r="Q92" s="112">
        <v>3.0516719248400253</v>
      </c>
      <c r="R92" s="112">
        <v>0.0</v>
      </c>
      <c r="S92" s="113">
        <v>8.862427620382767E-12</v>
      </c>
      <c r="T92" s="43">
        <v>2.0</v>
      </c>
      <c r="U92" s="42"/>
      <c r="V92" s="42"/>
      <c r="W92" s="42"/>
      <c r="X92" s="42"/>
      <c r="Y92" s="42"/>
      <c r="Z92" s="42"/>
    </row>
    <row r="93" ht="12.0" customHeight="1">
      <c r="A93" s="42"/>
      <c r="B93" s="42" t="s">
        <v>224</v>
      </c>
      <c r="C93" s="42" t="s">
        <v>229</v>
      </c>
      <c r="D93" s="106">
        <f t="shared" ref="D93:G93" si="132">H93+L93+P93</f>
        <v>102.6216568</v>
      </c>
      <c r="E93" s="106">
        <f t="shared" si="132"/>
        <v>1005.909515</v>
      </c>
      <c r="F93" s="106">
        <f t="shared" si="132"/>
        <v>703.812094</v>
      </c>
      <c r="G93" s="107">
        <f t="shared" si="132"/>
        <v>0.0000008335560698</v>
      </c>
      <c r="H93" s="108">
        <v>101.73835433393796</v>
      </c>
      <c r="I93" s="108">
        <v>992.3076875251945</v>
      </c>
      <c r="J93" s="108">
        <v>700.6576688539567</v>
      </c>
      <c r="K93" s="109">
        <v>6.933452763353938E-7</v>
      </c>
      <c r="L93" s="110">
        <v>0.8833024903511896</v>
      </c>
      <c r="M93" s="110">
        <v>13.60182775080022</v>
      </c>
      <c r="N93" s="110">
        <v>3.154425175749143</v>
      </c>
      <c r="O93" s="111">
        <v>1.4021079344592574E-7</v>
      </c>
      <c r="P93" s="112">
        <v>0.0</v>
      </c>
      <c r="Q93" s="112">
        <v>0.0</v>
      </c>
      <c r="R93" s="112">
        <f t="shared" ref="R93:R94" si="135">1.06*Q93</f>
        <v>0</v>
      </c>
      <c r="S93" s="113">
        <v>0.0</v>
      </c>
      <c r="T93" s="43">
        <v>1.0</v>
      </c>
      <c r="U93" s="42"/>
      <c r="V93" s="42"/>
      <c r="W93" s="42"/>
      <c r="X93" s="42"/>
      <c r="Y93" s="42"/>
      <c r="Z93" s="42"/>
    </row>
    <row r="94" ht="12.0" customHeight="1">
      <c r="A94" s="42"/>
      <c r="B94" s="42" t="s">
        <v>224</v>
      </c>
      <c r="C94" s="42" t="s">
        <v>230</v>
      </c>
      <c r="D94" s="106">
        <f t="shared" ref="D94:G94" si="133">H94+L94+P94</f>
        <v>307.8649705</v>
      </c>
      <c r="E94" s="106">
        <f t="shared" si="133"/>
        <v>3017.728546</v>
      </c>
      <c r="F94" s="106">
        <f t="shared" si="133"/>
        <v>2111.436282</v>
      </c>
      <c r="G94" s="107">
        <f t="shared" si="133"/>
        <v>0.000002500668209</v>
      </c>
      <c r="H94" s="108">
        <f t="shared" ref="H94:O94" si="134">3*H93</f>
        <v>305.215063</v>
      </c>
      <c r="I94" s="108">
        <f t="shared" si="134"/>
        <v>2976.923063</v>
      </c>
      <c r="J94" s="108">
        <f t="shared" si="134"/>
        <v>2101.973007</v>
      </c>
      <c r="K94" s="109">
        <f t="shared" si="134"/>
        <v>0.000002080035829</v>
      </c>
      <c r="L94" s="110">
        <f t="shared" si="134"/>
        <v>2.649907471</v>
      </c>
      <c r="M94" s="110">
        <f t="shared" si="134"/>
        <v>40.80548325</v>
      </c>
      <c r="N94" s="110">
        <f t="shared" si="134"/>
        <v>9.463275527</v>
      </c>
      <c r="O94" s="111">
        <f t="shared" si="134"/>
        <v>0.0000004206323803</v>
      </c>
      <c r="P94" s="112">
        <v>0.0</v>
      </c>
      <c r="Q94" s="112">
        <v>0.0</v>
      </c>
      <c r="R94" s="112">
        <f t="shared" si="135"/>
        <v>0</v>
      </c>
      <c r="S94" s="113">
        <v>0.0</v>
      </c>
      <c r="T94" s="43">
        <v>1.0</v>
      </c>
      <c r="U94" s="42"/>
      <c r="V94" s="42"/>
      <c r="W94" s="42"/>
      <c r="X94" s="42"/>
      <c r="Y94" s="42"/>
      <c r="Z94" s="42"/>
    </row>
    <row r="95" ht="12.0" customHeight="1">
      <c r="A95" s="42"/>
      <c r="B95" s="42" t="s">
        <v>224</v>
      </c>
      <c r="C95" s="42" t="s">
        <v>231</v>
      </c>
      <c r="D95" s="106">
        <f t="shared" ref="D95:G95" si="136">H95+L95+P95</f>
        <v>0.003268490932</v>
      </c>
      <c r="E95" s="106">
        <f t="shared" si="136"/>
        <v>0.03850514909</v>
      </c>
      <c r="F95" s="106">
        <f t="shared" si="136"/>
        <v>0.02943123307</v>
      </c>
      <c r="G95" s="107">
        <f t="shared" si="136"/>
        <v>0.0000000002921634814</v>
      </c>
      <c r="H95" s="108">
        <v>0.003268490932</v>
      </c>
      <c r="I95" s="108">
        <v>0.038505149093448</v>
      </c>
      <c r="J95" s="108">
        <v>0.029431233070000003</v>
      </c>
      <c r="K95" s="109">
        <v>2.9216348140000003E-10</v>
      </c>
      <c r="L95" s="110">
        <v>0.0</v>
      </c>
      <c r="M95" s="110">
        <v>0.0</v>
      </c>
      <c r="N95" s="110">
        <v>0.0</v>
      </c>
      <c r="O95" s="111">
        <v>0.0</v>
      </c>
      <c r="P95" s="112">
        <v>0.0</v>
      </c>
      <c r="Q95" s="112">
        <v>0.0</v>
      </c>
      <c r="R95" s="112">
        <v>0.0</v>
      </c>
      <c r="S95" s="113">
        <v>0.0</v>
      </c>
      <c r="T95" s="43">
        <v>1.0</v>
      </c>
      <c r="U95" s="42"/>
      <c r="V95" s="42"/>
      <c r="W95" s="42"/>
      <c r="X95" s="42"/>
      <c r="Y95" s="42"/>
      <c r="Z95" s="42"/>
    </row>
    <row r="96" ht="12.0" customHeight="1">
      <c r="A96" s="42"/>
      <c r="B96" s="42" t="s">
        <v>224</v>
      </c>
      <c r="C96" s="42" t="s">
        <v>232</v>
      </c>
      <c r="D96" s="106">
        <f t="shared" ref="D96:G96" si="137">H96+L96+P96</f>
        <v>0.00040375</v>
      </c>
      <c r="E96" s="106">
        <f t="shared" si="137"/>
        <v>0.0190046378</v>
      </c>
      <c r="F96" s="106">
        <f t="shared" si="137"/>
        <v>0</v>
      </c>
      <c r="G96" s="106">
        <f t="shared" si="137"/>
        <v>0.00045692162</v>
      </c>
      <c r="H96" s="108">
        <v>2.0E-4</v>
      </c>
      <c r="I96" s="108">
        <v>0.019</v>
      </c>
      <c r="J96" s="108">
        <v>0.0</v>
      </c>
      <c r="K96" s="109">
        <v>4.5E-4</v>
      </c>
      <c r="L96" s="110">
        <v>3.75E-6</v>
      </c>
      <c r="M96" s="110">
        <v>4.57E-6</v>
      </c>
      <c r="N96" s="110">
        <v>0.0</v>
      </c>
      <c r="O96" s="111">
        <v>6.92E-6</v>
      </c>
      <c r="P96" s="112">
        <v>2.0E-4</v>
      </c>
      <c r="Q96" s="112">
        <v>6.78E-8</v>
      </c>
      <c r="R96" s="112">
        <v>0.0</v>
      </c>
      <c r="S96" s="113">
        <v>1.62E-9</v>
      </c>
      <c r="T96" s="43">
        <v>1.0</v>
      </c>
      <c r="U96" s="42"/>
      <c r="V96" s="42"/>
      <c r="W96" s="42"/>
      <c r="X96" s="42"/>
      <c r="Y96" s="42"/>
      <c r="Z96" s="42"/>
    </row>
    <row r="97" ht="12.0" customHeight="1">
      <c r="A97" s="42"/>
      <c r="B97" s="42" t="s">
        <v>233</v>
      </c>
      <c r="C97" s="42" t="s">
        <v>234</v>
      </c>
      <c r="D97" s="106">
        <f t="shared" ref="D97:G97" si="138">H97+L97+P97</f>
        <v>173.753894</v>
      </c>
      <c r="E97" s="106">
        <f t="shared" si="138"/>
        <v>1241.890644</v>
      </c>
      <c r="F97" s="106">
        <f t="shared" si="138"/>
        <v>4.7764167</v>
      </c>
      <c r="G97" s="107">
        <f t="shared" si="138"/>
        <v>0.0000002133442618</v>
      </c>
      <c r="H97" s="108">
        <v>171.68841</v>
      </c>
      <c r="I97" s="108">
        <v>1211.0657293440001</v>
      </c>
      <c r="J97" s="108">
        <v>0.0</v>
      </c>
      <c r="K97" s="109">
        <v>1.0079953E-9</v>
      </c>
      <c r="L97" s="110">
        <v>1.3374927</v>
      </c>
      <c r="M97" s="110">
        <v>20.59582755852</v>
      </c>
      <c r="N97" s="110">
        <v>4.7764167</v>
      </c>
      <c r="O97" s="111">
        <v>2.1230656E-7</v>
      </c>
      <c r="P97" s="112">
        <v>0.72799127</v>
      </c>
      <c r="Q97" s="112">
        <v>10.2290871834</v>
      </c>
      <c r="R97" s="112">
        <v>0.0</v>
      </c>
      <c r="S97" s="113">
        <v>2.9706517E-11</v>
      </c>
      <c r="T97" s="43">
        <v>1.0</v>
      </c>
      <c r="U97" s="42"/>
      <c r="V97" s="42"/>
      <c r="W97" s="42"/>
      <c r="X97" s="42"/>
      <c r="Y97" s="42"/>
      <c r="Z97" s="42"/>
    </row>
    <row r="98" ht="12.0" customHeight="1">
      <c r="A98" s="42"/>
      <c r="B98" s="42" t="s">
        <v>233</v>
      </c>
      <c r="C98" s="42" t="s">
        <v>235</v>
      </c>
      <c r="D98" s="106">
        <f t="shared" ref="D98:G98" si="139">H98+L98+P98</f>
        <v>2.182511361</v>
      </c>
      <c r="E98" s="106">
        <f t="shared" si="139"/>
        <v>22.25940573</v>
      </c>
      <c r="F98" s="106">
        <f t="shared" si="139"/>
        <v>15.31892128</v>
      </c>
      <c r="G98" s="107">
        <f t="shared" si="139"/>
        <v>0.0000001746068227</v>
      </c>
      <c r="H98" s="108">
        <v>1.7822876</v>
      </c>
      <c r="I98" s="108">
        <v>21.57960204792</v>
      </c>
      <c r="J98" s="108">
        <v>15.06024</v>
      </c>
      <c r="K98" s="109">
        <v>1.68842E-7</v>
      </c>
      <c r="L98" s="110">
        <v>0.036223761</v>
      </c>
      <c r="M98" s="110">
        <v>0.557803679616</v>
      </c>
      <c r="N98" s="110">
        <v>0.12936128</v>
      </c>
      <c r="O98" s="111">
        <v>5.7499694E-9</v>
      </c>
      <c r="P98" s="112">
        <v>0.364</v>
      </c>
      <c r="Q98" s="112">
        <v>0.122</v>
      </c>
      <c r="R98" s="112">
        <f t="shared" ref="R98:R107" si="141">1.06*Q98</f>
        <v>0.12932</v>
      </c>
      <c r="S98" s="113">
        <v>1.4853259E-11</v>
      </c>
      <c r="T98" s="43">
        <v>2.0</v>
      </c>
      <c r="U98" s="42"/>
      <c r="V98" s="42"/>
      <c r="W98" s="42"/>
      <c r="X98" s="42"/>
      <c r="Y98" s="42"/>
      <c r="Z98" s="42"/>
    </row>
    <row r="99" ht="12.0" customHeight="1">
      <c r="A99" s="42"/>
      <c r="B99" s="42" t="s">
        <v>233</v>
      </c>
      <c r="C99" s="42" t="s">
        <v>236</v>
      </c>
      <c r="D99" s="106">
        <f t="shared" ref="D99:G99" si="140">H99+L99+P99</f>
        <v>0.5351594285</v>
      </c>
      <c r="E99" s="106">
        <f t="shared" si="140"/>
        <v>16.37210996</v>
      </c>
      <c r="F99" s="106">
        <f t="shared" si="140"/>
        <v>1.65093776</v>
      </c>
      <c r="G99" s="107">
        <f t="shared" si="140"/>
        <v>0.00000001537590619</v>
      </c>
      <c r="H99" s="108">
        <v>0.5258248438385742</v>
      </c>
      <c r="I99" s="108">
        <v>16.22836824711025</v>
      </c>
      <c r="J99" s="108">
        <v>1.6176023516150344</v>
      </c>
      <c r="K99" s="109">
        <v>1.3894183291408173E-8</v>
      </c>
      <c r="L99" s="110">
        <v>0.009334584666271607</v>
      </c>
      <c r="M99" s="110">
        <v>0.1437417126887967</v>
      </c>
      <c r="N99" s="110">
        <v>0.033335407941084715</v>
      </c>
      <c r="O99" s="111">
        <v>1.4817228953890304E-9</v>
      </c>
      <c r="P99" s="112">
        <v>0.0</v>
      </c>
      <c r="Q99" s="112">
        <v>0.0</v>
      </c>
      <c r="R99" s="112">
        <f t="shared" si="141"/>
        <v>0</v>
      </c>
      <c r="S99" s="113">
        <v>0.0</v>
      </c>
      <c r="T99" s="43">
        <v>1.0</v>
      </c>
      <c r="U99" s="42"/>
      <c r="V99" s="42"/>
      <c r="W99" s="42"/>
      <c r="X99" s="42"/>
      <c r="Y99" s="42"/>
      <c r="Z99" s="42"/>
    </row>
    <row r="100" ht="12.0" customHeight="1">
      <c r="A100" s="42"/>
      <c r="B100" s="42" t="s">
        <v>233</v>
      </c>
      <c r="C100" s="42" t="s">
        <v>237</v>
      </c>
      <c r="D100" s="106">
        <f t="shared" ref="D100:G100" si="142">H100+L100+P100</f>
        <v>18.42010022</v>
      </c>
      <c r="E100" s="106">
        <f t="shared" si="142"/>
        <v>259.70638</v>
      </c>
      <c r="F100" s="106">
        <f t="shared" si="142"/>
        <v>232.4691812</v>
      </c>
      <c r="G100" s="107">
        <f t="shared" si="142"/>
        <v>0.000000650912619</v>
      </c>
      <c r="H100" s="108">
        <v>18.180466106390888</v>
      </c>
      <c r="I100" s="108">
        <v>256.01629426996425</v>
      </c>
      <c r="J100" s="108">
        <v>231.61340659994582</v>
      </c>
      <c r="K100" s="109">
        <v>6.128743597602269E-7</v>
      </c>
      <c r="L100" s="110">
        <v>0.23963411207860275</v>
      </c>
      <c r="M100" s="110">
        <v>3.69008573738302</v>
      </c>
      <c r="N100" s="110">
        <v>0.8557746433927287</v>
      </c>
      <c r="O100" s="111">
        <v>3.80382592664039E-8</v>
      </c>
      <c r="P100" s="112">
        <v>0.0</v>
      </c>
      <c r="Q100" s="112">
        <v>0.0</v>
      </c>
      <c r="R100" s="112">
        <f t="shared" si="141"/>
        <v>0</v>
      </c>
      <c r="S100" s="113">
        <v>0.0</v>
      </c>
      <c r="T100" s="43">
        <v>2.0</v>
      </c>
      <c r="U100" s="42"/>
      <c r="V100" s="42"/>
      <c r="W100" s="42"/>
      <c r="X100" s="42"/>
      <c r="Y100" s="42"/>
      <c r="Z100" s="42"/>
    </row>
    <row r="101" ht="12.0" customHeight="1">
      <c r="A101" s="42"/>
      <c r="B101" s="42" t="s">
        <v>233</v>
      </c>
      <c r="C101" s="42" t="s">
        <v>238</v>
      </c>
      <c r="D101" s="106">
        <f t="shared" ref="D101:G101" si="143">H101+L101+P101</f>
        <v>162.7063905</v>
      </c>
      <c r="E101" s="106">
        <f t="shared" si="143"/>
        <v>2212.561649</v>
      </c>
      <c r="F101" s="106">
        <f t="shared" si="143"/>
        <v>785.228518</v>
      </c>
      <c r="G101" s="107">
        <f t="shared" si="143"/>
        <v>0.00002089749184</v>
      </c>
      <c r="H101" s="108">
        <v>161.94847791599074</v>
      </c>
      <c r="I101" s="108">
        <v>2200.89068027212</v>
      </c>
      <c r="J101" s="108">
        <v>782.5218819219599</v>
      </c>
      <c r="K101" s="109">
        <v>2.0777184788137314E-5</v>
      </c>
      <c r="L101" s="110">
        <v>0.7579125467158955</v>
      </c>
      <c r="M101" s="110">
        <v>11.670968919839057</v>
      </c>
      <c r="N101" s="110">
        <v>2.7066361093963196</v>
      </c>
      <c r="O101" s="111">
        <v>1.2030705305731205E-7</v>
      </c>
      <c r="P101" s="112">
        <v>0.0</v>
      </c>
      <c r="Q101" s="112">
        <v>0.0</v>
      </c>
      <c r="R101" s="112">
        <f t="shared" si="141"/>
        <v>0</v>
      </c>
      <c r="S101" s="113">
        <v>0.0</v>
      </c>
      <c r="T101" s="43">
        <v>2.0</v>
      </c>
      <c r="U101" s="42"/>
      <c r="V101" s="42"/>
      <c r="W101" s="42"/>
      <c r="X101" s="42"/>
      <c r="Y101" s="42"/>
      <c r="Z101" s="42"/>
    </row>
    <row r="102" ht="12.0" customHeight="1">
      <c r="A102" s="42"/>
      <c r="B102" s="42" t="s">
        <v>233</v>
      </c>
      <c r="C102" s="42" t="s">
        <v>239</v>
      </c>
      <c r="D102" s="106">
        <f t="shared" ref="D102:G102" si="144">H102+L102+P102</f>
        <v>2021.003822</v>
      </c>
      <c r="E102" s="106">
        <f t="shared" si="144"/>
        <v>41280.97601</v>
      </c>
      <c r="F102" s="106">
        <f t="shared" si="144"/>
        <v>5358.351485</v>
      </c>
      <c r="G102" s="107">
        <f t="shared" si="144"/>
        <v>0.00004461695025</v>
      </c>
      <c r="H102" s="108">
        <f>1900.44932639202+108.3228</f>
        <v>2008.772126</v>
      </c>
      <c r="I102" s="108">
        <f>39788.4355575404+1309.6691</f>
        <v>41098.10466</v>
      </c>
      <c r="J102" s="108">
        <f>4312.5545396585+1003.2859</f>
        <v>5315.84044</v>
      </c>
      <c r="K102" s="109">
        <f>0.0000399269761606125+2.80566*10^-6</f>
        <v>0.00004273263616</v>
      </c>
      <c r="L102" s="110">
        <f>10.0311954798699+1.8365</f>
        <v>11.86769548</v>
      </c>
      <c r="M102" s="110">
        <f>154.468706376307+28.28065</f>
        <v>182.7493564</v>
      </c>
      <c r="N102" s="110">
        <f>35.8231250450679+6.5586</f>
        <v>42.38172505</v>
      </c>
      <c r="O102" s="111">
        <f>0.00000159229923189521+2.92*10^-7</f>
        <v>0.000001884299232</v>
      </c>
      <c r="P102" s="112">
        <v>0.364</v>
      </c>
      <c r="Q102" s="112">
        <v>0.122</v>
      </c>
      <c r="R102" s="112">
        <f t="shared" si="141"/>
        <v>0.12932</v>
      </c>
      <c r="S102" s="113">
        <v>1.4853259E-11</v>
      </c>
      <c r="T102" s="43">
        <v>2.0</v>
      </c>
      <c r="U102" s="42"/>
      <c r="V102" s="42"/>
      <c r="W102" s="42"/>
      <c r="X102" s="42"/>
      <c r="Y102" s="42"/>
      <c r="Z102" s="42"/>
    </row>
    <row r="103" ht="12.0" customHeight="1">
      <c r="A103" s="42"/>
      <c r="B103" s="42" t="s">
        <v>233</v>
      </c>
      <c r="C103" s="42" t="s">
        <v>240</v>
      </c>
      <c r="D103" s="106">
        <f t="shared" ref="D103:G103" si="145">H103+L103+P103</f>
        <v>43.640676</v>
      </c>
      <c r="E103" s="106">
        <f t="shared" si="145"/>
        <v>632.9314</v>
      </c>
      <c r="F103" s="106">
        <f t="shared" si="145"/>
        <v>542.4157949</v>
      </c>
      <c r="G103" s="107">
        <f t="shared" si="145"/>
        <v>0.00000361177</v>
      </c>
      <c r="H103" s="108">
        <f>43.459</f>
        <v>43.459</v>
      </c>
      <c r="I103" s="108">
        <f>630.1338</f>
        <v>630.1338</v>
      </c>
      <c r="J103" s="108">
        <f>541.7669979</f>
        <v>541.7669979</v>
      </c>
      <c r="K103" s="109">
        <f>3.58297*10^-6</f>
        <v>0.00000358297</v>
      </c>
      <c r="L103" s="110">
        <f>0.181676</f>
        <v>0.181676</v>
      </c>
      <c r="M103" s="110">
        <f>2.7976</f>
        <v>2.7976</v>
      </c>
      <c r="N103" s="110">
        <v>0.648797</v>
      </c>
      <c r="O103" s="111">
        <f>2.88*10^-8</f>
        <v>0.0000000288</v>
      </c>
      <c r="P103" s="112">
        <v>0.0</v>
      </c>
      <c r="Q103" s="112">
        <v>0.0</v>
      </c>
      <c r="R103" s="112">
        <f t="shared" si="141"/>
        <v>0</v>
      </c>
      <c r="S103" s="113">
        <v>0.0</v>
      </c>
      <c r="T103" s="43">
        <v>2.0</v>
      </c>
      <c r="U103" s="42"/>
      <c r="V103" s="42"/>
      <c r="W103" s="42"/>
      <c r="X103" s="42"/>
      <c r="Y103" s="42"/>
      <c r="Z103" s="42"/>
    </row>
    <row r="104" ht="12.0" customHeight="1">
      <c r="A104" s="42"/>
      <c r="B104" s="42" t="s">
        <v>233</v>
      </c>
      <c r="C104" s="42" t="s">
        <v>241</v>
      </c>
      <c r="D104" s="106">
        <f t="shared" ref="D104:G104" si="146">H104+L104+P104</f>
        <v>3.88</v>
      </c>
      <c r="E104" s="106">
        <f t="shared" si="146"/>
        <v>90.58662</v>
      </c>
      <c r="F104" s="106">
        <f t="shared" si="146"/>
        <v>10.72866</v>
      </c>
      <c r="G104" s="107">
        <f t="shared" si="146"/>
        <v>0.00000007114</v>
      </c>
      <c r="H104" s="108">
        <v>3.84</v>
      </c>
      <c r="I104" s="108">
        <v>89.943</v>
      </c>
      <c r="J104" s="108">
        <v>10.5794</v>
      </c>
      <c r="K104" s="109">
        <f>6.451*10^-8</f>
        <v>0.00000006451</v>
      </c>
      <c r="L104" s="110">
        <v>0.04</v>
      </c>
      <c r="M104" s="110">
        <v>0.64362</v>
      </c>
      <c r="N104" s="110">
        <v>0.14926</v>
      </c>
      <c r="O104" s="111">
        <f>6.63*10^-9</f>
        <v>0.00000000663</v>
      </c>
      <c r="P104" s="112">
        <v>0.0</v>
      </c>
      <c r="Q104" s="112">
        <v>0.0</v>
      </c>
      <c r="R104" s="112">
        <f t="shared" si="141"/>
        <v>0</v>
      </c>
      <c r="S104" s="113">
        <v>0.0</v>
      </c>
      <c r="T104" s="43">
        <v>2.0</v>
      </c>
      <c r="U104" s="42"/>
      <c r="V104" s="42"/>
      <c r="W104" s="42"/>
      <c r="X104" s="42"/>
      <c r="Y104" s="42"/>
      <c r="Z104" s="42"/>
    </row>
    <row r="105" ht="12.0" customHeight="1">
      <c r="A105" s="42"/>
      <c r="B105" s="42" t="s">
        <v>233</v>
      </c>
      <c r="C105" s="42" t="s">
        <v>242</v>
      </c>
      <c r="D105" s="106">
        <f t="shared" ref="D105:G105" si="147">H105+L105+P105</f>
        <v>153.25409</v>
      </c>
      <c r="E105" s="106">
        <f t="shared" si="147"/>
        <v>2217.1004</v>
      </c>
      <c r="F105" s="106">
        <f t="shared" si="147"/>
        <v>2221.542388</v>
      </c>
      <c r="G105" s="107">
        <f t="shared" si="147"/>
        <v>0.000027416613</v>
      </c>
      <c r="H105" s="108">
        <v>150.724</v>
      </c>
      <c r="I105" s="108">
        <v>2178.14</v>
      </c>
      <c r="J105" s="108">
        <v>2212.507</v>
      </c>
      <c r="K105" s="109">
        <f>2.7015*10^-5</f>
        <v>0.000027015</v>
      </c>
      <c r="L105" s="110">
        <v>2.53009</v>
      </c>
      <c r="M105" s="110">
        <v>38.9604</v>
      </c>
      <c r="N105" s="110">
        <v>9.035388</v>
      </c>
      <c r="O105" s="111">
        <f>4.01613*10^-7</f>
        <v>0.000000401613</v>
      </c>
      <c r="P105" s="112">
        <v>0.0</v>
      </c>
      <c r="Q105" s="112">
        <v>0.0</v>
      </c>
      <c r="R105" s="112">
        <f t="shared" si="141"/>
        <v>0</v>
      </c>
      <c r="S105" s="113">
        <v>0.0</v>
      </c>
      <c r="T105" s="43">
        <v>2.0</v>
      </c>
      <c r="U105" s="42"/>
      <c r="V105" s="42"/>
      <c r="W105" s="42"/>
      <c r="X105" s="42"/>
      <c r="Y105" s="42"/>
      <c r="Z105" s="42"/>
    </row>
    <row r="106" ht="12.0" customHeight="1">
      <c r="A106" s="42"/>
      <c r="B106" s="42" t="s">
        <v>233</v>
      </c>
      <c r="C106" s="42" t="s">
        <v>243</v>
      </c>
      <c r="D106" s="106">
        <f t="shared" ref="D106:G106" si="148">H106+L106+P106</f>
        <v>282.7444829</v>
      </c>
      <c r="E106" s="106">
        <f t="shared" si="148"/>
        <v>3711.129687</v>
      </c>
      <c r="F106" s="106">
        <f t="shared" si="148"/>
        <v>4722.627057</v>
      </c>
      <c r="G106" s="107">
        <f t="shared" si="148"/>
        <v>0.00005949227177</v>
      </c>
      <c r="H106" s="108">
        <v>281.24847136589847</v>
      </c>
      <c r="I106" s="108">
        <v>3689.357990626716</v>
      </c>
      <c r="J106" s="108">
        <v>4706.655375658291</v>
      </c>
      <c r="K106" s="109">
        <v>5.940377239652467E-5</v>
      </c>
      <c r="L106" s="110">
        <v>0.5572886370329591</v>
      </c>
      <c r="M106" s="110">
        <v>8.581594790929561</v>
      </c>
      <c r="N106" s="110">
        <v>1.9901736089784874</v>
      </c>
      <c r="O106" s="111">
        <v>8.846106840947589E-8</v>
      </c>
      <c r="P106" s="112">
        <v>0.9387229260673063</v>
      </c>
      <c r="Q106" s="112">
        <v>13.190101360376149</v>
      </c>
      <c r="R106" s="112">
        <f t="shared" si="141"/>
        <v>13.98150744</v>
      </c>
      <c r="S106" s="113">
        <v>3.830566374462875E-11</v>
      </c>
      <c r="T106" s="43">
        <v>2.0</v>
      </c>
      <c r="U106" s="42"/>
      <c r="V106" s="42"/>
      <c r="W106" s="42"/>
      <c r="X106" s="42"/>
      <c r="Y106" s="42"/>
      <c r="Z106" s="42"/>
    </row>
    <row r="107" ht="12.0" customHeight="1">
      <c r="A107" s="42"/>
      <c r="B107" s="42" t="s">
        <v>233</v>
      </c>
      <c r="C107" s="42" t="s">
        <v>244</v>
      </c>
      <c r="D107" s="106">
        <f t="shared" ref="D107:G107" si="149">H107+L107+P107</f>
        <v>20.6969</v>
      </c>
      <c r="E107" s="106">
        <f t="shared" si="149"/>
        <v>267.8270488</v>
      </c>
      <c r="F107" s="106">
        <f t="shared" si="149"/>
        <v>380.914052</v>
      </c>
      <c r="G107" s="107">
        <f t="shared" si="149"/>
        <v>0.0000002666566276</v>
      </c>
      <c r="H107" s="108">
        <f>17.9*1.15</f>
        <v>20.585</v>
      </c>
      <c r="I107" s="108">
        <f>41.868*5.54*1.15</f>
        <v>266.741028</v>
      </c>
      <c r="J107" s="108">
        <f>1000*0.331*1.15</f>
        <v>380.65</v>
      </c>
      <c r="K107" s="109">
        <f>4/18*10^-6*1.15</f>
        <v>0.0000002555555556</v>
      </c>
      <c r="L107" s="110">
        <v>0.0697</v>
      </c>
      <c r="M107" s="110">
        <f>41.868*0.0256</f>
        <v>1.0718208</v>
      </c>
      <c r="N107" s="110">
        <f>1000*0.000249</f>
        <v>0.249</v>
      </c>
      <c r="O107" s="111">
        <f>1.11*10^-8</f>
        <v>0.0000000111</v>
      </c>
      <c r="P107" s="112">
        <v>0.0422</v>
      </c>
      <c r="Q107" s="112">
        <v>0.0142</v>
      </c>
      <c r="R107" s="112">
        <f t="shared" si="141"/>
        <v>0.015052</v>
      </c>
      <c r="S107" s="113">
        <f>1.072*10^-12</f>
        <v>0</v>
      </c>
      <c r="T107" s="43">
        <v>2.0</v>
      </c>
      <c r="U107" s="42"/>
      <c r="V107" s="42"/>
      <c r="W107" s="42"/>
      <c r="X107" s="42"/>
      <c r="Y107" s="42"/>
      <c r="Z107" s="42"/>
    </row>
    <row r="108" ht="12.0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0" customHeight="1">
      <c r="A109" s="42"/>
      <c r="B109" s="126" t="s">
        <v>245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0" customHeight="1">
      <c r="A110" s="42"/>
      <c r="B110" s="126" t="s">
        <v>246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0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0" customHeight="1">
      <c r="A112" s="42"/>
      <c r="B112" s="104" t="s">
        <v>247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0" customHeight="1">
      <c r="A113" s="42"/>
      <c r="B113" s="42"/>
      <c r="C113" s="127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0" customHeight="1">
      <c r="A114" s="42"/>
      <c r="B114" s="34" t="s">
        <v>123</v>
      </c>
      <c r="C114" s="65" t="s">
        <v>248</v>
      </c>
      <c r="D114" s="65" t="s">
        <v>249</v>
      </c>
      <c r="E114" s="65" t="s">
        <v>250</v>
      </c>
      <c r="F114" s="65" t="s">
        <v>251</v>
      </c>
      <c r="G114" s="65" t="s">
        <v>252</v>
      </c>
      <c r="H114" s="65" t="s">
        <v>253</v>
      </c>
      <c r="I114" s="65" t="s">
        <v>254</v>
      </c>
      <c r="J114" s="65" t="s">
        <v>255</v>
      </c>
      <c r="K114" s="65" t="s">
        <v>256</v>
      </c>
      <c r="L114" s="65" t="s">
        <v>257</v>
      </c>
      <c r="M114" s="65" t="s">
        <v>258</v>
      </c>
      <c r="N114" s="65" t="s">
        <v>259</v>
      </c>
      <c r="O114" s="42"/>
      <c r="P114" s="65" t="s">
        <v>43</v>
      </c>
      <c r="Q114" s="65" t="s">
        <v>101</v>
      </c>
      <c r="R114" s="65" t="s">
        <v>260</v>
      </c>
      <c r="S114" s="65" t="s">
        <v>261</v>
      </c>
      <c r="T114" s="42"/>
      <c r="U114" s="42"/>
      <c r="V114" s="42"/>
      <c r="W114" s="42"/>
      <c r="X114" s="42"/>
      <c r="Y114" s="42"/>
      <c r="Z114" s="42"/>
    </row>
    <row r="115" ht="12.0" customHeight="1">
      <c r="A115" s="42"/>
      <c r="B115" s="42" t="s">
        <v>133</v>
      </c>
      <c r="C115" s="128">
        <v>0.199</v>
      </c>
      <c r="D115" s="129">
        <f>21.1/1731</f>
        <v>0.01218948585</v>
      </c>
      <c r="E115" s="129">
        <v>0.0</v>
      </c>
      <c r="F115" s="129">
        <f>18.5/1731</f>
        <v>0.01068746389</v>
      </c>
      <c r="G115" s="129">
        <f>830.8/1731</f>
        <v>0.4799537839</v>
      </c>
      <c r="H115" s="130">
        <f t="shared" ref="H115:H121" si="150">(D115/0.3+E115/0.3+F115/0.3+G115/0.45)/(SUM(D115:G115))*3.6</f>
        <v>8.181985294</v>
      </c>
      <c r="I115" s="128">
        <f t="shared" ref="I115:I121" si="151">(D115*0.16+E115*1.06+F115*1.06+G115*0.11)*3.6</f>
        <v>0.2378662045</v>
      </c>
      <c r="J115" s="131">
        <f t="shared" ref="J115:J121" si="152">C115/0.755*2.13*10^-8</f>
        <v>0.000000005614172185</v>
      </c>
      <c r="K115" s="130">
        <f t="shared" ref="K115:K121" si="153">0.408+0.592*C115/0.676</f>
        <v>0.5822721893</v>
      </c>
      <c r="L115" s="132">
        <v>7.334794520547946E7</v>
      </c>
      <c r="M115" s="130">
        <f t="shared" ref="M115:M121" si="154">(3.33/(3.33+13.99))+(13.99/(3.33+13.99))*H115/(1/0.33*3.6)</f>
        <v>0.7980781933</v>
      </c>
      <c r="N115" s="43">
        <v>10.0</v>
      </c>
      <c r="O115" s="42"/>
      <c r="P115" s="42" t="s">
        <v>262</v>
      </c>
      <c r="Q115" s="42">
        <v>0.093</v>
      </c>
      <c r="R115" s="42">
        <v>0.16</v>
      </c>
      <c r="S115" s="42">
        <f>9.02*10^-9/27</f>
        <v>0.0000000003340740741</v>
      </c>
      <c r="T115" s="42"/>
      <c r="U115" s="42"/>
      <c r="V115" s="42"/>
      <c r="W115" s="42"/>
      <c r="X115" s="42"/>
      <c r="Y115" s="42"/>
      <c r="Z115" s="42"/>
    </row>
    <row r="116" ht="12.0" customHeight="1">
      <c r="A116" s="42"/>
      <c r="B116" s="42" t="s">
        <v>134</v>
      </c>
      <c r="C116" s="128">
        <v>0.74</v>
      </c>
      <c r="D116" s="129">
        <f>388.8/602.1</f>
        <v>0.6457399103</v>
      </c>
      <c r="E116" s="129">
        <f>6.4/602.1</f>
        <v>0.01062946354</v>
      </c>
      <c r="F116" s="129">
        <v>0.0</v>
      </c>
      <c r="G116" s="129">
        <f>41.6/602.1</f>
        <v>0.06909151304</v>
      </c>
      <c r="H116" s="130">
        <f t="shared" si="150"/>
        <v>11.61904762</v>
      </c>
      <c r="I116" s="128">
        <f t="shared" si="151"/>
        <v>0.4398684604</v>
      </c>
      <c r="J116" s="131">
        <f t="shared" si="152"/>
        <v>0.00000002087682119</v>
      </c>
      <c r="K116" s="130">
        <f t="shared" si="153"/>
        <v>1.056047337</v>
      </c>
      <c r="L116" s="132">
        <v>1.02687123287671E9</v>
      </c>
      <c r="M116" s="130">
        <f t="shared" si="154"/>
        <v>1.052566993</v>
      </c>
      <c r="N116" s="43">
        <v>10.0</v>
      </c>
      <c r="O116" s="42"/>
      <c r="P116" s="42" t="s">
        <v>117</v>
      </c>
      <c r="Q116" s="42">
        <v>0.0526</v>
      </c>
      <c r="R116" s="42">
        <v>0.11</v>
      </c>
      <c r="S116" s="42">
        <f>3.07*10^-7/37</f>
        <v>0.000000008297297297</v>
      </c>
      <c r="T116" s="42"/>
      <c r="U116" s="42"/>
      <c r="V116" s="42"/>
      <c r="W116" s="42"/>
      <c r="X116" s="42"/>
      <c r="Y116" s="42"/>
      <c r="Z116" s="42"/>
    </row>
    <row r="117" ht="12.0" customHeight="1">
      <c r="A117" s="42"/>
      <c r="B117" s="42" t="s">
        <v>263</v>
      </c>
      <c r="C117" s="128">
        <v>0.542</v>
      </c>
      <c r="D117" s="129">
        <f>80.4/320.3</f>
        <v>0.2510146737</v>
      </c>
      <c r="E117" s="129">
        <v>0.0</v>
      </c>
      <c r="F117" s="129">
        <v>0.0</v>
      </c>
      <c r="G117" s="129">
        <f>198.1/320.3</f>
        <v>0.6184826725</v>
      </c>
      <c r="H117" s="130">
        <f t="shared" si="150"/>
        <v>9.15475763</v>
      </c>
      <c r="I117" s="128">
        <f t="shared" si="151"/>
        <v>0.3895035904</v>
      </c>
      <c r="J117" s="131">
        <f t="shared" si="152"/>
        <v>0.00000001529086093</v>
      </c>
      <c r="K117" s="130">
        <f t="shared" si="153"/>
        <v>0.8826508876</v>
      </c>
      <c r="L117" s="132">
        <v>1.1002191780821918E8</v>
      </c>
      <c r="M117" s="130">
        <f t="shared" si="154"/>
        <v>0.8701047208</v>
      </c>
      <c r="N117" s="43">
        <v>10.0</v>
      </c>
      <c r="O117" s="42"/>
      <c r="P117" s="42" t="s">
        <v>122</v>
      </c>
      <c r="Q117" s="42">
        <f>0.159/20</f>
        <v>0.00795</v>
      </c>
      <c r="R117" s="42">
        <f>1.28/20</f>
        <v>0.064</v>
      </c>
      <c r="S117" s="42">
        <f>9.26*10^-9/20</f>
        <v>0.000000000463</v>
      </c>
      <c r="T117" s="42"/>
      <c r="U117" s="42"/>
      <c r="V117" s="42"/>
      <c r="W117" s="42"/>
      <c r="X117" s="42"/>
      <c r="Y117" s="42"/>
      <c r="Z117" s="42"/>
    </row>
    <row r="118" ht="12.0" customHeight="1">
      <c r="A118" s="42"/>
      <c r="B118" s="42" t="s">
        <v>3</v>
      </c>
      <c r="C118" s="128">
        <v>0.858</v>
      </c>
      <c r="D118" s="129">
        <v>0.15</v>
      </c>
      <c r="E118" s="129">
        <v>0.68</v>
      </c>
      <c r="F118" s="129">
        <v>0.0</v>
      </c>
      <c r="G118" s="129">
        <v>0.16</v>
      </c>
      <c r="H118" s="130">
        <f t="shared" si="150"/>
        <v>11.35353535</v>
      </c>
      <c r="I118" s="128">
        <f t="shared" si="151"/>
        <v>2.74464</v>
      </c>
      <c r="J118" s="131">
        <f t="shared" si="152"/>
        <v>0.00000002420582781</v>
      </c>
      <c r="K118" s="130">
        <f t="shared" si="153"/>
        <v>1.159384615</v>
      </c>
      <c r="L118" s="132">
        <v>2.71387397260274E8</v>
      </c>
      <c r="M118" s="130">
        <f t="shared" si="154"/>
        <v>1.032907792</v>
      </c>
      <c r="N118" s="43">
        <v>10.0</v>
      </c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0" customHeight="1">
      <c r="A119" s="42"/>
      <c r="B119" s="42" t="s">
        <v>264</v>
      </c>
      <c r="C119" s="128">
        <v>0.539</v>
      </c>
      <c r="D119" s="129">
        <f>0.1935+0.2389</f>
        <v>0.4324</v>
      </c>
      <c r="E119" s="129">
        <f>0.0067</f>
        <v>0.0067</v>
      </c>
      <c r="F119" s="129">
        <f>0.0011</f>
        <v>0.0011</v>
      </c>
      <c r="G119" s="129">
        <v>0.1348</v>
      </c>
      <c r="H119" s="130">
        <f t="shared" si="150"/>
        <v>11.06226087</v>
      </c>
      <c r="I119" s="128">
        <f t="shared" si="151"/>
        <v>0.332208</v>
      </c>
      <c r="J119" s="131">
        <f t="shared" si="152"/>
        <v>0.00000001520622517</v>
      </c>
      <c r="K119" s="130">
        <f t="shared" si="153"/>
        <v>0.8800236686</v>
      </c>
      <c r="L119" s="132">
        <v>1.9803945205479452E8</v>
      </c>
      <c r="M119" s="130">
        <f t="shared" si="154"/>
        <v>1.011341092</v>
      </c>
      <c r="N119" s="43">
        <v>15.0</v>
      </c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0" customHeight="1">
      <c r="A120" s="42"/>
      <c r="B120" s="42" t="s">
        <v>132</v>
      </c>
      <c r="C120" s="128">
        <f>2.15/2.2*D120+1.22/2.2*G120</f>
        <v>0.4949545455</v>
      </c>
      <c r="D120" s="129">
        <v>0.41</v>
      </c>
      <c r="E120" s="129">
        <v>0.0</v>
      </c>
      <c r="F120" s="129">
        <v>0.0</v>
      </c>
      <c r="G120" s="129">
        <v>0.17</v>
      </c>
      <c r="H120" s="130">
        <f t="shared" si="150"/>
        <v>10.82758621</v>
      </c>
      <c r="I120" s="128">
        <f t="shared" si="151"/>
        <v>0.30348</v>
      </c>
      <c r="J120" s="131">
        <f t="shared" si="152"/>
        <v>0.0000000139636183</v>
      </c>
      <c r="K120" s="130">
        <f t="shared" si="153"/>
        <v>0.8414513179</v>
      </c>
      <c r="L120" s="132">
        <v>7.334794520547946E7</v>
      </c>
      <c r="M120" s="130">
        <f t="shared" si="154"/>
        <v>0.9939651854</v>
      </c>
      <c r="N120" s="43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0" customHeight="1">
      <c r="A121" s="42"/>
      <c r="B121" s="42" t="s">
        <v>131</v>
      </c>
      <c r="C121" s="128">
        <v>0.369</v>
      </c>
      <c r="D121" s="129">
        <v>0.332</v>
      </c>
      <c r="E121" s="129">
        <v>0.0</v>
      </c>
      <c r="F121" s="129">
        <v>0.0</v>
      </c>
      <c r="G121" s="129">
        <v>0.0</v>
      </c>
      <c r="H121" s="130">
        <f t="shared" si="150"/>
        <v>12</v>
      </c>
      <c r="I121" s="128">
        <f t="shared" si="151"/>
        <v>0.191232</v>
      </c>
      <c r="J121" s="131">
        <f t="shared" si="152"/>
        <v>0.00000001041019868</v>
      </c>
      <c r="K121" s="130">
        <f t="shared" si="153"/>
        <v>0.731147929</v>
      </c>
      <c r="L121" s="132">
        <v>1.4669589041095886E9</v>
      </c>
      <c r="M121" s="130">
        <f t="shared" si="154"/>
        <v>1.080773672</v>
      </c>
      <c r="N121" s="43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0" customHeight="1">
      <c r="A122" s="42"/>
      <c r="B122" s="42"/>
      <c r="C122" s="127"/>
      <c r="D122" s="42"/>
      <c r="E122" s="42"/>
      <c r="F122" s="42"/>
      <c r="G122" s="42"/>
      <c r="H122" s="42"/>
      <c r="I122" s="128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0" customHeight="1">
      <c r="A123" s="42"/>
      <c r="B123" s="42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0" customHeight="1">
      <c r="A124" s="42"/>
      <c r="B124" s="42" t="s">
        <v>266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0" customHeight="1">
      <c r="A125" s="42"/>
      <c r="B125" s="42" t="s">
        <v>267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0" customHeight="1">
      <c r="A126" s="42"/>
      <c r="B126" s="42" t="s">
        <v>268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0" customHeight="1">
      <c r="A127" s="42"/>
      <c r="B127" s="42" t="s">
        <v>269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0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 t="s">
        <v>270</v>
      </c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0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 t="s">
        <v>271</v>
      </c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0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 t="s">
        <v>272</v>
      </c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0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 t="s">
        <v>273</v>
      </c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0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 t="s">
        <v>274</v>
      </c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0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133" t="s">
        <v>275</v>
      </c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0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 t="s">
        <v>276</v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0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 t="s">
        <v>277</v>
      </c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0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 t="s">
        <v>278</v>
      </c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0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0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0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0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0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0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0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0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0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0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0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0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0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0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0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0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0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0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0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0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0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0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0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0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0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0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0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0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0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0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0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0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0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0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0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0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0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0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0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0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0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0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0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0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0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0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0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0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0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0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0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0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0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0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0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0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0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0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0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0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0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0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0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0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0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0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0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0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0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0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0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0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0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0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0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0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0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0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0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0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0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0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0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0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0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0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0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0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0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0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0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0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0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0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0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0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0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0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0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0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0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0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0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0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0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0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0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0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0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0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0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0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0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0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0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0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0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0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0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0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0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0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0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0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0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0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0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0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0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0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0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0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0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0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0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0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0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0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0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0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0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0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0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0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0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0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0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0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0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0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0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0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0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0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0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0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0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0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0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0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0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0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0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0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0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0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0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0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0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0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0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0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0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0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0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0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0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0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0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0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0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0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0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0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0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0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0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0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0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0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0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0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0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0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0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0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0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0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0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0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6:G6"/>
    <mergeCell ref="H6:K6"/>
    <mergeCell ref="L6:O6"/>
    <mergeCell ref="P6:S6"/>
  </mergeCells>
  <hyperlinks>
    <hyperlink r:id="rId1" ref="K133"/>
  </hyperlinks>
  <printOptions/>
  <pageMargins bottom="1.0" footer="0.0" header="0.0" left="0.75" right="0.75" top="1.0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2.14"/>
    <col customWidth="1" min="3" max="3" width="27.43"/>
    <col customWidth="1" min="4" max="4" width="23.29"/>
    <col customWidth="1" min="5" max="5" width="25.86"/>
    <col customWidth="1" min="6" max="6" width="28.0"/>
    <col customWidth="1" min="7" max="7" width="24.57"/>
    <col customWidth="1" min="8" max="8" width="23.71"/>
    <col customWidth="1" min="9" max="9" width="22.43"/>
    <col customWidth="1" min="10" max="10" width="34.86"/>
    <col customWidth="1" min="11" max="11" width="25.14"/>
    <col customWidth="1" min="12" max="12" width="39.29"/>
    <col customWidth="1" min="13" max="13" width="7.71"/>
    <col customWidth="1" min="14" max="14" width="6.71"/>
    <col customWidth="1" min="15" max="15" width="5.71"/>
    <col customWidth="1" min="16" max="16" width="10.86"/>
    <col customWidth="1" min="17" max="17" width="20.0"/>
    <col customWidth="1" min="18" max="34" width="10.86"/>
    <col customWidth="1" min="35" max="35" width="31.29"/>
    <col customWidth="1" min="36" max="37" width="10.86"/>
    <col customWidth="1" min="38" max="88" width="8.71"/>
    <col customWidth="1" min="89" max="89" width="10.86"/>
  </cols>
  <sheetData>
    <row r="1" ht="9.75" customHeight="1">
      <c r="A1" s="134" t="s">
        <v>35</v>
      </c>
      <c r="B1" s="134" t="s">
        <v>279</v>
      </c>
      <c r="C1" s="134" t="s">
        <v>280</v>
      </c>
      <c r="D1" s="134" t="s">
        <v>281</v>
      </c>
      <c r="E1" s="134" t="s">
        <v>282</v>
      </c>
      <c r="F1" s="134" t="s">
        <v>283</v>
      </c>
      <c r="G1" s="134" t="s">
        <v>284</v>
      </c>
      <c r="H1" s="134" t="s">
        <v>285</v>
      </c>
      <c r="I1" s="134" t="s">
        <v>286</v>
      </c>
      <c r="J1" s="134" t="s">
        <v>287</v>
      </c>
      <c r="K1" s="134" t="s">
        <v>288</v>
      </c>
      <c r="L1" s="134" t="s">
        <v>289</v>
      </c>
      <c r="M1" s="134" t="s">
        <v>36</v>
      </c>
      <c r="N1" s="134" t="s">
        <v>133</v>
      </c>
      <c r="O1" s="134"/>
      <c r="P1" s="134"/>
      <c r="Q1" s="134" t="s">
        <v>290</v>
      </c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5" t="s">
        <v>291</v>
      </c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</row>
    <row r="2" ht="9.75" customHeight="1">
      <c r="A2" s="134" t="s">
        <v>31</v>
      </c>
      <c r="B2" s="134" t="s">
        <v>32</v>
      </c>
      <c r="C2" s="134" t="s">
        <v>34</v>
      </c>
      <c r="D2" s="134" t="s">
        <v>155</v>
      </c>
      <c r="E2" s="134" t="s">
        <v>28</v>
      </c>
      <c r="F2" s="134" t="s">
        <v>179</v>
      </c>
      <c r="G2" s="134" t="s">
        <v>187</v>
      </c>
      <c r="H2" s="134" t="s">
        <v>194</v>
      </c>
      <c r="I2" s="134" t="s">
        <v>198</v>
      </c>
      <c r="J2" s="134" t="s">
        <v>24</v>
      </c>
      <c r="K2" s="134" t="s">
        <v>244</v>
      </c>
      <c r="L2" s="134" t="s">
        <v>227</v>
      </c>
      <c r="M2" s="134"/>
      <c r="N2" s="134" t="s">
        <v>134</v>
      </c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</row>
    <row r="3" ht="9.75" customHeight="1">
      <c r="A3" s="134" t="s">
        <v>33</v>
      </c>
      <c r="B3" s="134" t="s">
        <v>141</v>
      </c>
      <c r="C3" s="134" t="s">
        <v>150</v>
      </c>
      <c r="D3" s="134" t="s">
        <v>156</v>
      </c>
      <c r="E3" s="134" t="s">
        <v>166</v>
      </c>
      <c r="F3" s="134" t="s">
        <v>180</v>
      </c>
      <c r="G3" s="134" t="s">
        <v>189</v>
      </c>
      <c r="H3" s="134" t="s">
        <v>195</v>
      </c>
      <c r="I3" s="134" t="s">
        <v>199</v>
      </c>
      <c r="J3" s="134" t="s">
        <v>204</v>
      </c>
      <c r="K3" s="134" t="s">
        <v>237</v>
      </c>
      <c r="L3" s="134" t="s">
        <v>226</v>
      </c>
      <c r="M3" s="134"/>
      <c r="N3" s="134" t="s">
        <v>263</v>
      </c>
      <c r="O3" s="134"/>
      <c r="P3" s="136" t="s">
        <v>17</v>
      </c>
      <c r="Q3" s="136" t="s">
        <v>292</v>
      </c>
      <c r="R3" s="136" t="s">
        <v>19</v>
      </c>
      <c r="S3" s="136" t="s">
        <v>293</v>
      </c>
      <c r="T3" s="136" t="s">
        <v>294</v>
      </c>
      <c r="U3" s="136" t="s">
        <v>295</v>
      </c>
      <c r="V3" s="136" t="s">
        <v>296</v>
      </c>
      <c r="W3" s="136" t="s">
        <v>297</v>
      </c>
      <c r="X3" s="136" t="s">
        <v>298</v>
      </c>
      <c r="Y3" s="136" t="s">
        <v>299</v>
      </c>
      <c r="Z3" s="136" t="s">
        <v>300</v>
      </c>
      <c r="AA3" s="136" t="s">
        <v>301</v>
      </c>
      <c r="AB3" s="136" t="s">
        <v>302</v>
      </c>
      <c r="AC3" s="136" t="s">
        <v>303</v>
      </c>
      <c r="AD3" s="136" t="s">
        <v>304</v>
      </c>
      <c r="AE3" s="136" t="s">
        <v>305</v>
      </c>
      <c r="AF3" s="136" t="s">
        <v>306</v>
      </c>
      <c r="AG3" s="136" t="s">
        <v>307</v>
      </c>
      <c r="AH3" s="136" t="s">
        <v>308</v>
      </c>
      <c r="AI3" s="136" t="s">
        <v>309</v>
      </c>
      <c r="AJ3" s="134"/>
      <c r="AK3" s="134" t="s">
        <v>310</v>
      </c>
      <c r="AL3" s="134">
        <v>0.0</v>
      </c>
      <c r="AM3" s="134">
        <f t="shared" ref="AM3:CJ3" si="1">AL3+1</f>
        <v>1</v>
      </c>
      <c r="AN3" s="134">
        <f t="shared" si="1"/>
        <v>2</v>
      </c>
      <c r="AO3" s="134">
        <f t="shared" si="1"/>
        <v>3</v>
      </c>
      <c r="AP3" s="134">
        <f t="shared" si="1"/>
        <v>4</v>
      </c>
      <c r="AQ3" s="134">
        <f t="shared" si="1"/>
        <v>5</v>
      </c>
      <c r="AR3" s="134">
        <f t="shared" si="1"/>
        <v>6</v>
      </c>
      <c r="AS3" s="134">
        <f t="shared" si="1"/>
        <v>7</v>
      </c>
      <c r="AT3" s="134">
        <f t="shared" si="1"/>
        <v>8</v>
      </c>
      <c r="AU3" s="134">
        <f t="shared" si="1"/>
        <v>9</v>
      </c>
      <c r="AV3" s="134">
        <f t="shared" si="1"/>
        <v>10</v>
      </c>
      <c r="AW3" s="134">
        <f t="shared" si="1"/>
        <v>11</v>
      </c>
      <c r="AX3" s="134">
        <f t="shared" si="1"/>
        <v>12</v>
      </c>
      <c r="AY3" s="134">
        <f t="shared" si="1"/>
        <v>13</v>
      </c>
      <c r="AZ3" s="134">
        <f t="shared" si="1"/>
        <v>14</v>
      </c>
      <c r="BA3" s="134">
        <f t="shared" si="1"/>
        <v>15</v>
      </c>
      <c r="BB3" s="134">
        <f t="shared" si="1"/>
        <v>16</v>
      </c>
      <c r="BC3" s="134">
        <f t="shared" si="1"/>
        <v>17</v>
      </c>
      <c r="BD3" s="134">
        <f t="shared" si="1"/>
        <v>18</v>
      </c>
      <c r="BE3" s="134">
        <f t="shared" si="1"/>
        <v>19</v>
      </c>
      <c r="BF3" s="134">
        <f t="shared" si="1"/>
        <v>20</v>
      </c>
      <c r="BG3" s="134">
        <f t="shared" si="1"/>
        <v>21</v>
      </c>
      <c r="BH3" s="134">
        <f t="shared" si="1"/>
        <v>22</v>
      </c>
      <c r="BI3" s="134">
        <f t="shared" si="1"/>
        <v>23</v>
      </c>
      <c r="BJ3" s="134">
        <f t="shared" si="1"/>
        <v>24</v>
      </c>
      <c r="BK3" s="134">
        <f t="shared" si="1"/>
        <v>25</v>
      </c>
      <c r="BL3" s="134">
        <f t="shared" si="1"/>
        <v>26</v>
      </c>
      <c r="BM3" s="134">
        <f t="shared" si="1"/>
        <v>27</v>
      </c>
      <c r="BN3" s="134">
        <f t="shared" si="1"/>
        <v>28</v>
      </c>
      <c r="BO3" s="134">
        <f t="shared" si="1"/>
        <v>29</v>
      </c>
      <c r="BP3" s="134">
        <f t="shared" si="1"/>
        <v>30</v>
      </c>
      <c r="BQ3" s="134">
        <f t="shared" si="1"/>
        <v>31</v>
      </c>
      <c r="BR3" s="134">
        <f t="shared" si="1"/>
        <v>32</v>
      </c>
      <c r="BS3" s="134">
        <f t="shared" si="1"/>
        <v>33</v>
      </c>
      <c r="BT3" s="134">
        <f t="shared" si="1"/>
        <v>34</v>
      </c>
      <c r="BU3" s="134">
        <f t="shared" si="1"/>
        <v>35</v>
      </c>
      <c r="BV3" s="134">
        <f t="shared" si="1"/>
        <v>36</v>
      </c>
      <c r="BW3" s="134">
        <f t="shared" si="1"/>
        <v>37</v>
      </c>
      <c r="BX3" s="134">
        <f t="shared" si="1"/>
        <v>38</v>
      </c>
      <c r="BY3" s="134">
        <f t="shared" si="1"/>
        <v>39</v>
      </c>
      <c r="BZ3" s="134">
        <f t="shared" si="1"/>
        <v>40</v>
      </c>
      <c r="CA3" s="134">
        <f t="shared" si="1"/>
        <v>41</v>
      </c>
      <c r="CB3" s="134">
        <f t="shared" si="1"/>
        <v>42</v>
      </c>
      <c r="CC3" s="134">
        <f t="shared" si="1"/>
        <v>43</v>
      </c>
      <c r="CD3" s="134">
        <f t="shared" si="1"/>
        <v>44</v>
      </c>
      <c r="CE3" s="134">
        <f t="shared" si="1"/>
        <v>45</v>
      </c>
      <c r="CF3" s="134">
        <f t="shared" si="1"/>
        <v>46</v>
      </c>
      <c r="CG3" s="134">
        <f t="shared" si="1"/>
        <v>47</v>
      </c>
      <c r="CH3" s="134">
        <f t="shared" si="1"/>
        <v>48</v>
      </c>
      <c r="CI3" s="134">
        <f t="shared" si="1"/>
        <v>49</v>
      </c>
      <c r="CJ3" s="134">
        <f t="shared" si="1"/>
        <v>50</v>
      </c>
      <c r="CK3" s="134"/>
    </row>
    <row r="4" ht="9.75" customHeight="1">
      <c r="A4" s="134" t="s">
        <v>154</v>
      </c>
      <c r="B4" s="134" t="s">
        <v>143</v>
      </c>
      <c r="C4" s="134" t="s">
        <v>152</v>
      </c>
      <c r="D4" s="134" t="s">
        <v>157</v>
      </c>
      <c r="E4" s="134" t="s">
        <v>167</v>
      </c>
      <c r="F4" s="134" t="s">
        <v>181</v>
      </c>
      <c r="G4" s="134" t="s">
        <v>190</v>
      </c>
      <c r="H4" s="134" t="s">
        <v>30</v>
      </c>
      <c r="I4" s="134" t="s">
        <v>200</v>
      </c>
      <c r="J4" s="134" t="s">
        <v>205</v>
      </c>
      <c r="K4" s="134" t="s">
        <v>241</v>
      </c>
      <c r="L4" s="134" t="s">
        <v>229</v>
      </c>
      <c r="M4" s="134"/>
      <c r="N4" s="134" t="s">
        <v>3</v>
      </c>
      <c r="O4" s="134"/>
      <c r="P4" s="134" t="str">
        <f>'Construction and Materials'!B18</f>
        <v>MEP</v>
      </c>
      <c r="Q4" s="134" t="str">
        <f>'Construction and Materials'!C18</f>
        <v>Stainless Steel Duct (kg)</v>
      </c>
      <c r="R4" s="137">
        <f>'Construction and Materials'!D18</f>
        <v>10180.95</v>
      </c>
      <c r="S4" s="138">
        <f>IF(NOT(Q4="Pick Type"),VLOOKUP(Q4,'LCA Data'!$C$8:$S$107,6,FALSE)*Lists!R4,0)</f>
        <v>34411.611</v>
      </c>
      <c r="T4" s="139">
        <f>IF(NOT(Q4="Pick Type"),VLOOKUP(Q4,'LCA Data'!$C$8:$S$107,10,FALSE)*Lists!R4,0)</f>
        <v>227.035185</v>
      </c>
      <c r="U4" s="140">
        <f>IF(NOT(Q4="Pick Type"),VLOOKUP(Q4,'LCA Data'!$C$8:$S$107,14,FALSE)*Lists!R4,0)</f>
        <v>0</v>
      </c>
      <c r="V4" s="141">
        <f t="shared" ref="V4:V44" si="2">SUM(S4:U4)</f>
        <v>34638.64619</v>
      </c>
      <c r="W4" s="138">
        <f>IF(NOT(Q4="Pick Type"),VLOOKUP(Q4,'LCA Data'!$C$8:$S$107,7,FALSE)*Lists!R4,0)</f>
        <v>273230.1054</v>
      </c>
      <c r="X4" s="139">
        <f>IF(NOT(Q4="Pick Type"),VLOOKUP(Q4,'LCA Data'!$C$8:$S$107,11,FALSE)*Lists!R4,0)</f>
        <v>3495.29932</v>
      </c>
      <c r="Y4" s="140">
        <f>IF(NOT(Q4="Pick Type"),VLOOKUP(Q4,'LCA Data'!$C$8:$S$107,15,FALSE)*Lists!R4,0)</f>
        <v>0</v>
      </c>
      <c r="Z4" s="141">
        <f t="shared" ref="Z4:Z44" si="3">SUM(W4:Y4)</f>
        <v>276725.4047</v>
      </c>
      <c r="AA4" s="138">
        <f>IF(NOT(Q4="Pick Type"),VLOOKUP(Q4,'LCA Data'!$C$8:$S$107,8,FALSE)*Lists!R4,0)</f>
        <v>193438.05</v>
      </c>
      <c r="AB4" s="139">
        <f>IF(NOT(Q4="Pick Type"),VLOOKUP(Q4,'LCA Data'!$C$8:$S$107,12,FALSE)*Lists!R4,0)</f>
        <v>810.40362</v>
      </c>
      <c r="AC4" s="140">
        <f>IF(NOT(Q4="Pick Type"),VLOOKUP(Q4,'LCA Data'!$C$8:$S$107,16,FALSE)*Lists!R4,0)</f>
        <v>0</v>
      </c>
      <c r="AD4" s="141">
        <f t="shared" ref="AD4:AD44" si="4">SUM(AA4:AC4)</f>
        <v>194248.4536</v>
      </c>
      <c r="AE4" s="142">
        <f>IF(NOT(Q4="Pick Type"),VLOOKUP(Q4,'LCA Data'!$C$8:$S$107,9,FALSE)*Lists!R4,0)</f>
        <v>0</v>
      </c>
      <c r="AF4" s="143">
        <f>IF(NOT(Q4="Pick Type"),VLOOKUP(Q4,'LCA Data'!$C$8:$S$107,13,FALSE)*Lists!R4,0)</f>
        <v>0.000036040563</v>
      </c>
      <c r="AG4" s="144">
        <f>IF(NOT(Q4="Pick Type"),VLOOKUP(Q4,'LCA Data'!$C$8:$S$107,17,FALSE)*Lists!R4,0)</f>
        <v>0</v>
      </c>
      <c r="AH4" s="145">
        <f t="shared" ref="AH4:AH44" si="5">SUM(AE4:AG4)</f>
        <v>0.000036040563</v>
      </c>
      <c r="AI4" s="134" t="str">
        <f t="shared" ref="AI4:AI44" si="6">IF(R4=0,NA(),Q4)</f>
        <v>Stainless Steel Duct (kg)</v>
      </c>
      <c r="AJ4" s="134"/>
      <c r="AK4" s="134" t="s">
        <v>311</v>
      </c>
      <c r="AL4" s="137">
        <f t="shared" ref="AL4:AL44" si="7">V4</f>
        <v>34638.64619</v>
      </c>
      <c r="AM4" s="134">
        <f t="shared" ref="AM4:AM44" si="8">IF(Q4=$J$14,V4,0)</f>
        <v>0</v>
      </c>
      <c r="AN4" s="134">
        <f t="shared" ref="AN4:AN44" si="9">IF(Q4=$J$14,V4,0)</f>
        <v>0</v>
      </c>
      <c r="AO4" s="134">
        <f t="shared" ref="AO4:AO44" si="10">IF(Q4=$J$14,V4,0)</f>
        <v>0</v>
      </c>
      <c r="AP4" s="134">
        <f t="shared" ref="AP4:AP44" si="11">IF(Q4=$J$14,V4,0)</f>
        <v>0</v>
      </c>
      <c r="AQ4" s="134">
        <f t="shared" ref="AQ4:AQ44" si="12">IF(Q4=$J$14,V4,0)</f>
        <v>0</v>
      </c>
      <c r="AR4" s="134">
        <f t="shared" ref="AR4:AR44" si="13">IF(Q4=$J$14,V4,0)</f>
        <v>0</v>
      </c>
      <c r="AS4" s="134">
        <f t="shared" ref="AS4:AS44" si="14">IF(Q4=$J$14,V4,0)</f>
        <v>0</v>
      </c>
      <c r="AT4" s="134">
        <f t="shared" ref="AT4:AT44" si="15">IF(Q4=$J$14,V4,0)</f>
        <v>0</v>
      </c>
      <c r="AU4" s="134">
        <f t="shared" ref="AU4:AU44" si="16">IF(Q4=$J$14,V4,0)</f>
        <v>0</v>
      </c>
      <c r="AV4" s="134">
        <f t="shared" ref="AV4:AV44" si="17">IF(Q4=$J$14,V4,0)</f>
        <v>0</v>
      </c>
      <c r="AW4" s="134">
        <f t="shared" ref="AW4:AW44" si="18">IF(Q4=$J$14,V4,0)</f>
        <v>0</v>
      </c>
      <c r="AX4" s="134">
        <f t="shared" ref="AX4:AX44" si="19">IF(Q4=$J$14,V4,0)</f>
        <v>0</v>
      </c>
      <c r="AY4" s="134">
        <f t="shared" ref="AY4:AY44" si="20">IF(Q4=$J$14,V4,0)</f>
        <v>0</v>
      </c>
      <c r="AZ4" s="134">
        <f t="shared" ref="AZ4:AZ44" si="21">IF(Q4=$J$14,V4,0)</f>
        <v>0</v>
      </c>
      <c r="BA4" s="134">
        <f t="shared" ref="BA4:BA44" si="22">IF(Q4=$J$14,V4,0)</f>
        <v>0</v>
      </c>
      <c r="BB4" s="134">
        <f t="shared" ref="BB4:BB44" si="23">IF(Q4=$J$14,V4,0)</f>
        <v>0</v>
      </c>
      <c r="BC4" s="134">
        <f t="shared" ref="BC4:BC44" si="24">IF(Q4=$J$14,V4,0)</f>
        <v>0</v>
      </c>
      <c r="BD4" s="134">
        <f t="shared" ref="BD4:BD44" si="25">IF(Q4=$J$14,V4,0)</f>
        <v>0</v>
      </c>
      <c r="BE4" s="134">
        <f t="shared" ref="BE4:BE44" si="26">IF(Q4=$J$14,V4,0)</f>
        <v>0</v>
      </c>
      <c r="BF4" s="134">
        <f t="shared" ref="BF4:BF44" si="27">IF(Q4=$J$14,V4,IF(Q4=$F$2,V4,0))</f>
        <v>0</v>
      </c>
      <c r="BG4" s="134">
        <f t="shared" ref="BG4:BG44" si="28">IF(Q4=$J$14,V4,IF(Q4=$J$18,V4,0))</f>
        <v>0</v>
      </c>
      <c r="BH4" s="134">
        <f t="shared" ref="BH4:BH44" si="29">IF(Q4=$J$14,V4,0)</f>
        <v>0</v>
      </c>
      <c r="BI4" s="134">
        <f t="shared" ref="BI4:BI44" si="30">IF(Q4=$J$14,V4,0)</f>
        <v>0</v>
      </c>
      <c r="BJ4" s="134">
        <f t="shared" ref="BJ4:BJ44" si="31">IF(Q4=$J$14,V4,IF(Q4=$J$17,V4,IF(Q4=$F$8,V4,0)))</f>
        <v>0</v>
      </c>
      <c r="BK4" s="134">
        <f t="shared" ref="BK4:BK44" si="32">IF(Q4=$J$7,V4,IF(Q4=$J$8,V4,IF(Q4=$J$9,V4,IF(Q4=$J$14,V4,IF(Q4=$J$10,V4,IF(Q4=$J$11,V4,IF(Q4=$J$12,V4,IF(Q4=$J$13,V4,IF(Q4=$K$5,V4,IF(Q4=$K$7,V4,IF(Q4=$K$3,V4,IF(Q4=$K$9,V4,IF(Q4=$K$10,V4,IF(Q4=$L$6,V4,IF(Q4=$E$10,V4,0)))))))))))))))</f>
        <v>0</v>
      </c>
      <c r="BL4" s="134">
        <f t="shared" ref="BL4:BL44" si="33">IF(Q4=$J$14,V4,IF(Q4=$L$8,V4,0))</f>
        <v>0</v>
      </c>
      <c r="BM4" s="134">
        <f t="shared" ref="BM4:BM44" si="34">IF(Q4=$J$14,V4,0)</f>
        <v>0</v>
      </c>
      <c r="BN4" s="134">
        <f t="shared" ref="BN4:BN44" si="35">IF(Q4=$J$14,V4,0)</f>
        <v>0</v>
      </c>
      <c r="BO4" s="134">
        <f t="shared" ref="BO4:BO44" si="36">IF(Q4=$J$14,V4,0)</f>
        <v>0</v>
      </c>
      <c r="BP4" s="134">
        <f t="shared" ref="BP4:BP44" si="37">IF(Q4=$K$2,V4,IF(Q4=$K$19,V4,IF(Q4=$J$14,V4,IF(Q4=$K$6,V4,0))))</f>
        <v>0</v>
      </c>
      <c r="BQ4" s="134">
        <f t="shared" ref="BQ4:BQ44" si="38">IF(Q4=$J$14,V4,0)</f>
        <v>0</v>
      </c>
      <c r="BR4" s="134">
        <f t="shared" ref="BR4:BR44" si="39">IF(Q4=$J$14,V4,0)</f>
        <v>0</v>
      </c>
      <c r="BS4" s="134">
        <f t="shared" ref="BS4:BS44" si="40">IF(Q4=$J$14,V4,0)</f>
        <v>0</v>
      </c>
      <c r="BT4" s="134">
        <f t="shared" ref="BT4:BT44" si="41">IF(Q4=$J$14,V4,0)</f>
        <v>0</v>
      </c>
      <c r="BU4" s="134">
        <f t="shared" ref="BU4:BU44" si="42">IF(Q4=$J$14,V4,IF(Q4=$K$4,V4,0))</f>
        <v>0</v>
      </c>
      <c r="BV4" s="134">
        <f t="shared" ref="BV4:BV44" si="43">IF(Q4=$J$14,V4,0)</f>
        <v>0</v>
      </c>
      <c r="BW4" s="134">
        <f t="shared" ref="BW4:BW44" si="44">IF(Q4=$J$14,V4,0)</f>
        <v>0</v>
      </c>
      <c r="BX4" s="134">
        <f t="shared" ref="BX4:BX44" si="45">IF(Q4=$J$14,V4,0)</f>
        <v>0</v>
      </c>
      <c r="BY4" s="134">
        <f t="shared" ref="BY4:BY44" si="46">IF(Q4=$J$14,V4,0)</f>
        <v>0</v>
      </c>
      <c r="BZ4" s="134">
        <f t="shared" ref="BZ4:BZ44" si="47">IF(P4="Window",V4,IF(Q4=$J$14,V4,IF(Q4=$F$2,V4,0)))</f>
        <v>0</v>
      </c>
      <c r="CA4" s="134">
        <f t="shared" ref="CA4:CA44" si="48">IF(Q4=$J$14,V4,IF(Q4=$J$18,V4,0))</f>
        <v>0</v>
      </c>
      <c r="CB4" s="134">
        <f t="shared" ref="CB4:CB44" si="49">IF(Q4=$J$14,V4,0)</f>
        <v>0</v>
      </c>
      <c r="CC4" s="134">
        <f t="shared" ref="CC4:CC44" si="50">IF(Q4=$J$14,V4,0)</f>
        <v>0</v>
      </c>
      <c r="CD4" s="134">
        <f t="shared" ref="CD4:CD44" si="51">IF(Q4=$J$14,V4,0)</f>
        <v>0</v>
      </c>
      <c r="CE4" s="134">
        <f t="shared" ref="CE4:CE44" si="52">IF(Q4=$J$14,V4,0)</f>
        <v>0</v>
      </c>
      <c r="CF4" s="134">
        <f t="shared" ref="CF4:CF44" si="53">IF(Q4=$J$14,V4,0)</f>
        <v>0</v>
      </c>
      <c r="CG4" s="134">
        <f t="shared" ref="CG4:CG44" si="54">IF(Q4=$J$14,V4,0)</f>
        <v>0</v>
      </c>
      <c r="CH4" s="134">
        <f t="shared" ref="CH4:CH44" si="55">IF(Q4=$J$14,V4,0)</f>
        <v>0</v>
      </c>
      <c r="CI4" s="134">
        <f t="shared" ref="CI4:CI44" si="56">IF(Q4=$J$14,V4,0)</f>
        <v>0</v>
      </c>
      <c r="CJ4" s="134">
        <f t="shared" ref="CJ4:CJ44" si="57">IF(Q4=$J$14,V4,0)</f>
        <v>0</v>
      </c>
      <c r="CK4" s="134"/>
    </row>
    <row r="5" ht="9.75" customHeight="1">
      <c r="A5" s="134" t="s">
        <v>27</v>
      </c>
      <c r="B5" s="134" t="s">
        <v>145</v>
      </c>
      <c r="C5" s="134" t="s">
        <v>153</v>
      </c>
      <c r="D5" s="134" t="s">
        <v>160</v>
      </c>
      <c r="E5" s="134" t="s">
        <v>168</v>
      </c>
      <c r="F5" s="134" t="s">
        <v>183</v>
      </c>
      <c r="G5" s="134" t="s">
        <v>188</v>
      </c>
      <c r="H5" s="134" t="s">
        <v>196</v>
      </c>
      <c r="I5" s="134" t="s">
        <v>201</v>
      </c>
      <c r="J5" s="134" t="s">
        <v>206</v>
      </c>
      <c r="K5" s="134" t="s">
        <v>240</v>
      </c>
      <c r="L5" s="134" t="s">
        <v>230</v>
      </c>
      <c r="M5" s="134"/>
      <c r="N5" s="134" t="s">
        <v>264</v>
      </c>
      <c r="O5" s="134"/>
      <c r="P5" s="134" t="str">
        <f>'Construction and Materials'!B19</f>
        <v>MEP</v>
      </c>
      <c r="Q5" s="134" t="str">
        <f>'Construction and Materials'!C19</f>
        <v>Air Handling Unit (m^3/s)</v>
      </c>
      <c r="R5" s="137">
        <f>'Construction and Materials'!D19</f>
        <v>0.7844444444</v>
      </c>
      <c r="S5" s="138">
        <f>IF(NOT(Q5="Pick Type"),VLOOKUP(Q5,'LCA Data'!$C$8:$S$107,6,FALSE)*Lists!R5,0)</f>
        <v>3153.849868</v>
      </c>
      <c r="T5" s="139">
        <f>IF(NOT(Q5="Pick Type"),VLOOKUP(Q5,'LCA Data'!$C$8:$S$107,10,FALSE)*Lists!R5,0)</f>
        <v>12.51188889</v>
      </c>
      <c r="U5" s="140">
        <f>IF(NOT(Q5="Pick Type"),VLOOKUP(Q5,'LCA Data'!$C$8:$S$107,14,FALSE)*Lists!R5,0)</f>
        <v>0.0006185904762</v>
      </c>
      <c r="V5" s="141">
        <f t="shared" si="2"/>
        <v>3166.362375</v>
      </c>
      <c r="W5" s="138">
        <f>IF(NOT(Q5="Pick Type"),VLOOKUP(Q5,'LCA Data'!$C$8:$S$107,7,FALSE)*Lists!R5,0)</f>
        <v>39435.63033</v>
      </c>
      <c r="X5" s="139">
        <f>IF(NOT(Q5="Pick Type"),VLOOKUP(Q5,'LCA Data'!$C$8:$S$107,11,FALSE)*Lists!R5,0)</f>
        <v>192.132252</v>
      </c>
      <c r="Y5" s="140">
        <f>IF(NOT(Q5="Pick Type"),VLOOKUP(Q5,'LCA Data'!$C$8:$S$107,15,FALSE)*Lists!R5,0)</f>
        <v>0.008692765079</v>
      </c>
      <c r="Z5" s="141">
        <f t="shared" si="3"/>
        <v>39627.77128</v>
      </c>
      <c r="AA5" s="138">
        <f>IF(NOT(Q5="Pick Type"),VLOOKUP(Q5,'LCA Data'!$C$8:$S$107,8,FALSE)*Lists!R5,0)</f>
        <v>23872.16627</v>
      </c>
      <c r="AB5" s="139">
        <f>IF(NOT(Q5="Pick Type"),VLOOKUP(Q5,'LCA Data'!$C$8:$S$107,12,FALSE)*Lists!R5,0)</f>
        <v>44.71333333</v>
      </c>
      <c r="AC5" s="140">
        <f>IF(NOT(Q5="Pick Type"),VLOOKUP(Q5,'LCA Data'!$C$8:$S$107,16,FALSE)*Lists!R5,0)</f>
        <v>0.009214330984</v>
      </c>
      <c r="AD5" s="141">
        <f t="shared" si="4"/>
        <v>23916.88881</v>
      </c>
      <c r="AE5" s="142">
        <f>IF(NOT(Q5="Pick Type"),VLOOKUP(Q5,'LCA Data'!$C$8:$S$107,9,FALSE)*Lists!R5,0)</f>
        <v>0.0002467077778</v>
      </c>
      <c r="AF5" s="143">
        <f>IF(NOT(Q5="Pick Type"),VLOOKUP(Q5,'LCA Data'!$C$8:$S$107,13,FALSE)*Lists!R5,0)</f>
        <v>0.000001984644444</v>
      </c>
      <c r="AG5" s="144">
        <f>IF(NOT(Q5="Pick Type"),VLOOKUP(Q5,'LCA Data'!$C$8:$S$107,17,FALSE)*Lists!R5,0)</f>
        <v>0</v>
      </c>
      <c r="AH5" s="145">
        <f t="shared" si="5"/>
        <v>0.0002486924222</v>
      </c>
      <c r="AI5" s="134" t="str">
        <f t="shared" si="6"/>
        <v>Air Handling Unit (m^3/s)</v>
      </c>
      <c r="AJ5" s="134"/>
      <c r="AK5" s="134" t="s">
        <v>312</v>
      </c>
      <c r="AL5" s="137">
        <f t="shared" si="7"/>
        <v>3166.362375</v>
      </c>
      <c r="AM5" s="134">
        <f t="shared" si="8"/>
        <v>0</v>
      </c>
      <c r="AN5" s="134">
        <f t="shared" si="9"/>
        <v>0</v>
      </c>
      <c r="AO5" s="134">
        <f t="shared" si="10"/>
        <v>0</v>
      </c>
      <c r="AP5" s="134">
        <f t="shared" si="11"/>
        <v>0</v>
      </c>
      <c r="AQ5" s="134">
        <f t="shared" si="12"/>
        <v>0</v>
      </c>
      <c r="AR5" s="134">
        <f t="shared" si="13"/>
        <v>0</v>
      </c>
      <c r="AS5" s="134">
        <f t="shared" si="14"/>
        <v>0</v>
      </c>
      <c r="AT5" s="134">
        <f t="shared" si="15"/>
        <v>0</v>
      </c>
      <c r="AU5" s="134">
        <f t="shared" si="16"/>
        <v>0</v>
      </c>
      <c r="AV5" s="134">
        <f t="shared" si="17"/>
        <v>0</v>
      </c>
      <c r="AW5" s="134">
        <f t="shared" si="18"/>
        <v>0</v>
      </c>
      <c r="AX5" s="134">
        <f t="shared" si="19"/>
        <v>0</v>
      </c>
      <c r="AY5" s="134">
        <f t="shared" si="20"/>
        <v>0</v>
      </c>
      <c r="AZ5" s="134">
        <f t="shared" si="21"/>
        <v>0</v>
      </c>
      <c r="BA5" s="134">
        <f t="shared" si="22"/>
        <v>0</v>
      </c>
      <c r="BB5" s="134">
        <f t="shared" si="23"/>
        <v>0</v>
      </c>
      <c r="BC5" s="134">
        <f t="shared" si="24"/>
        <v>0</v>
      </c>
      <c r="BD5" s="134">
        <f t="shared" si="25"/>
        <v>0</v>
      </c>
      <c r="BE5" s="134">
        <f t="shared" si="26"/>
        <v>0</v>
      </c>
      <c r="BF5" s="134">
        <f t="shared" si="27"/>
        <v>0</v>
      </c>
      <c r="BG5" s="134">
        <f t="shared" si="28"/>
        <v>0</v>
      </c>
      <c r="BH5" s="134">
        <f t="shared" si="29"/>
        <v>0</v>
      </c>
      <c r="BI5" s="134">
        <f t="shared" si="30"/>
        <v>0</v>
      </c>
      <c r="BJ5" s="134">
        <f t="shared" si="31"/>
        <v>0</v>
      </c>
      <c r="BK5" s="137">
        <f t="shared" si="32"/>
        <v>3166.362375</v>
      </c>
      <c r="BL5" s="134">
        <f t="shared" si="33"/>
        <v>0</v>
      </c>
      <c r="BM5" s="134">
        <f t="shared" si="34"/>
        <v>0</v>
      </c>
      <c r="BN5" s="134">
        <f t="shared" si="35"/>
        <v>0</v>
      </c>
      <c r="BO5" s="134">
        <f t="shared" si="36"/>
        <v>0</v>
      </c>
      <c r="BP5" s="134">
        <f t="shared" si="37"/>
        <v>0</v>
      </c>
      <c r="BQ5" s="134">
        <f t="shared" si="38"/>
        <v>0</v>
      </c>
      <c r="BR5" s="134">
        <f t="shared" si="39"/>
        <v>0</v>
      </c>
      <c r="BS5" s="134">
        <f t="shared" si="40"/>
        <v>0</v>
      </c>
      <c r="BT5" s="134">
        <f t="shared" si="41"/>
        <v>0</v>
      </c>
      <c r="BU5" s="134">
        <f t="shared" si="42"/>
        <v>0</v>
      </c>
      <c r="BV5" s="134">
        <f t="shared" si="43"/>
        <v>0</v>
      </c>
      <c r="BW5" s="134">
        <f t="shared" si="44"/>
        <v>0</v>
      </c>
      <c r="BX5" s="134">
        <f t="shared" si="45"/>
        <v>0</v>
      </c>
      <c r="BY5" s="134">
        <f t="shared" si="46"/>
        <v>0</v>
      </c>
      <c r="BZ5" s="134">
        <f t="shared" si="47"/>
        <v>0</v>
      </c>
      <c r="CA5" s="134">
        <f t="shared" si="48"/>
        <v>0</v>
      </c>
      <c r="CB5" s="134">
        <f t="shared" si="49"/>
        <v>0</v>
      </c>
      <c r="CC5" s="134">
        <f t="shared" si="50"/>
        <v>0</v>
      </c>
      <c r="CD5" s="134">
        <f t="shared" si="51"/>
        <v>0</v>
      </c>
      <c r="CE5" s="134">
        <f t="shared" si="52"/>
        <v>0</v>
      </c>
      <c r="CF5" s="134">
        <f t="shared" si="53"/>
        <v>0</v>
      </c>
      <c r="CG5" s="134">
        <f t="shared" si="54"/>
        <v>0</v>
      </c>
      <c r="CH5" s="134">
        <f t="shared" si="55"/>
        <v>0</v>
      </c>
      <c r="CI5" s="134">
        <f t="shared" si="56"/>
        <v>0</v>
      </c>
      <c r="CJ5" s="134">
        <f t="shared" si="57"/>
        <v>0</v>
      </c>
      <c r="CK5" s="134"/>
    </row>
    <row r="6" ht="9.75" customHeight="1">
      <c r="A6" s="134" t="s">
        <v>176</v>
      </c>
      <c r="B6" s="134" t="s">
        <v>146</v>
      </c>
      <c r="C6" s="134" t="s">
        <v>151</v>
      </c>
      <c r="D6" s="134" t="s">
        <v>162</v>
      </c>
      <c r="E6" s="134" t="s">
        <v>171</v>
      </c>
      <c r="F6" s="134" t="s">
        <v>185</v>
      </c>
      <c r="G6" s="134" t="s">
        <v>191</v>
      </c>
      <c r="H6" s="134"/>
      <c r="I6" s="134"/>
      <c r="J6" s="134" t="s">
        <v>207</v>
      </c>
      <c r="K6" s="134" t="s">
        <v>238</v>
      </c>
      <c r="L6" s="134" t="s">
        <v>225</v>
      </c>
      <c r="M6" s="134"/>
      <c r="N6" s="134" t="s">
        <v>132</v>
      </c>
      <c r="O6" s="134"/>
      <c r="P6" s="134" t="str">
        <f>'Construction and Materials'!B20</f>
        <v>Floor</v>
      </c>
      <c r="Q6" s="134" t="str">
        <f>'Construction and Materials'!C20</f>
        <v>Wood System (sf)</v>
      </c>
      <c r="R6" s="137">
        <f>'Construction and Materials'!D20</f>
        <v>34275</v>
      </c>
      <c r="S6" s="138">
        <f>IF(NOT(Q6="Pick Type"),VLOOKUP(Q6,'LCA Data'!$C$8:$S$107,6,FALSE)*Lists!R6,0)</f>
        <v>123047.25</v>
      </c>
      <c r="T6" s="139">
        <f>IF(NOT(Q6="Pick Type"),VLOOKUP(Q6,'LCA Data'!$C$8:$S$107,10,FALSE)*Lists!R6,0)</f>
        <v>4798.5</v>
      </c>
      <c r="U6" s="140">
        <f>IF(NOT(Q6="Pick Type"),VLOOKUP(Q6,'LCA Data'!$C$8:$S$107,14,FALSE)*Lists!R6,0)</f>
        <v>144211.5827</v>
      </c>
      <c r="V6" s="141">
        <f t="shared" si="2"/>
        <v>272057.3327</v>
      </c>
      <c r="W6" s="138">
        <f>IF(NOT(Q6="Pick Type"),VLOOKUP(Q6,'LCA Data'!$C$8:$S$107,7,FALSE)*Lists!R6,0)</f>
        <v>1635929.298</v>
      </c>
      <c r="X6" s="139">
        <f>IF(NOT(Q6="Pick Type"),VLOOKUP(Q6,'LCA Data'!$C$8:$S$107,11,FALSE)*Lists!R6,0)</f>
        <v>73903.82355</v>
      </c>
      <c r="Y6" s="140">
        <f>IF(NOT(Q6="Pick Type"),VLOOKUP(Q6,'LCA Data'!$C$8:$S$107,15,FALSE)*Lists!R6,0)</f>
        <v>2026333.78</v>
      </c>
      <c r="Z6" s="141">
        <f t="shared" si="3"/>
        <v>3736166.901</v>
      </c>
      <c r="AA6" s="138">
        <f>IF(NOT(Q6="Pick Type"),VLOOKUP(Q6,'LCA Data'!$C$8:$S$107,8,FALSE)*Lists!R6,0)</f>
        <v>730057.5</v>
      </c>
      <c r="AB6" s="139">
        <f>IF(NOT(Q6="Pick Type"),VLOOKUP(Q6,'LCA Data'!$C$8:$S$107,12,FALSE)*Lists!R6,0)</f>
        <v>17171.775</v>
      </c>
      <c r="AC6" s="140">
        <f>IF(NOT(Q6="Pick Type"),VLOOKUP(Q6,'LCA Data'!$C$8:$S$107,16,FALSE)*Lists!R6,0)</f>
        <v>2147913.807</v>
      </c>
      <c r="AD6" s="141">
        <f t="shared" si="4"/>
        <v>2895143.082</v>
      </c>
      <c r="AE6" s="142">
        <f>IF(NOT(Q6="Pick Type"),VLOOKUP(Q6,'LCA Data'!$C$8:$S$107,9,FALSE)*Lists!R6,0)</f>
        <v>0.0000031772925</v>
      </c>
      <c r="AF6" s="143">
        <f>IF(NOT(Q6="Pick Type"),VLOOKUP(Q6,'LCA Data'!$C$8:$S$107,13,FALSE)*Lists!R6,0)</f>
        <v>0.000760905</v>
      </c>
      <c r="AG6" s="144">
        <f>IF(NOT(Q6="Pick Type"),VLOOKUP(Q6,'LCA Data'!$C$8:$S$107,17,FALSE)*Lists!R6,0)</f>
        <v>0.0000058953</v>
      </c>
      <c r="AH6" s="145">
        <f t="shared" si="5"/>
        <v>0.0007699775925</v>
      </c>
      <c r="AI6" s="134" t="str">
        <f t="shared" si="6"/>
        <v>Wood System (sf)</v>
      </c>
      <c r="AJ6" s="134"/>
      <c r="AK6" s="134" t="s">
        <v>313</v>
      </c>
      <c r="AL6" s="137">
        <f t="shared" si="7"/>
        <v>272057.3327</v>
      </c>
      <c r="AM6" s="134">
        <f t="shared" si="8"/>
        <v>0</v>
      </c>
      <c r="AN6" s="134">
        <f t="shared" si="9"/>
        <v>0</v>
      </c>
      <c r="AO6" s="134">
        <f t="shared" si="10"/>
        <v>0</v>
      </c>
      <c r="AP6" s="134">
        <f t="shared" si="11"/>
        <v>0</v>
      </c>
      <c r="AQ6" s="134">
        <f t="shared" si="12"/>
        <v>0</v>
      </c>
      <c r="AR6" s="134">
        <f t="shared" si="13"/>
        <v>0</v>
      </c>
      <c r="AS6" s="134">
        <f t="shared" si="14"/>
        <v>0</v>
      </c>
      <c r="AT6" s="134">
        <f t="shared" si="15"/>
        <v>0</v>
      </c>
      <c r="AU6" s="134">
        <f t="shared" si="16"/>
        <v>0</v>
      </c>
      <c r="AV6" s="134">
        <f t="shared" si="17"/>
        <v>0</v>
      </c>
      <c r="AW6" s="134">
        <f t="shared" si="18"/>
        <v>0</v>
      </c>
      <c r="AX6" s="134">
        <f t="shared" si="19"/>
        <v>0</v>
      </c>
      <c r="AY6" s="134">
        <f t="shared" si="20"/>
        <v>0</v>
      </c>
      <c r="AZ6" s="134">
        <f t="shared" si="21"/>
        <v>0</v>
      </c>
      <c r="BA6" s="134">
        <f t="shared" si="22"/>
        <v>0</v>
      </c>
      <c r="BB6" s="134">
        <f t="shared" si="23"/>
        <v>0</v>
      </c>
      <c r="BC6" s="134">
        <f t="shared" si="24"/>
        <v>0</v>
      </c>
      <c r="BD6" s="134">
        <f t="shared" si="25"/>
        <v>0</v>
      </c>
      <c r="BE6" s="134">
        <f t="shared" si="26"/>
        <v>0</v>
      </c>
      <c r="BF6" s="134">
        <f t="shared" si="27"/>
        <v>0</v>
      </c>
      <c r="BG6" s="134">
        <f t="shared" si="28"/>
        <v>0</v>
      </c>
      <c r="BH6" s="134">
        <f t="shared" si="29"/>
        <v>0</v>
      </c>
      <c r="BI6" s="134">
        <f t="shared" si="30"/>
        <v>0</v>
      </c>
      <c r="BJ6" s="134">
        <f t="shared" si="31"/>
        <v>0</v>
      </c>
      <c r="BK6" s="134">
        <f t="shared" si="32"/>
        <v>0</v>
      </c>
      <c r="BL6" s="134">
        <f t="shared" si="33"/>
        <v>0</v>
      </c>
      <c r="BM6" s="134">
        <f t="shared" si="34"/>
        <v>0</v>
      </c>
      <c r="BN6" s="134">
        <f t="shared" si="35"/>
        <v>0</v>
      </c>
      <c r="BO6" s="134">
        <f t="shared" si="36"/>
        <v>0</v>
      </c>
      <c r="BP6" s="134">
        <f t="shared" si="37"/>
        <v>0</v>
      </c>
      <c r="BQ6" s="134">
        <f t="shared" si="38"/>
        <v>0</v>
      </c>
      <c r="BR6" s="134">
        <f t="shared" si="39"/>
        <v>0</v>
      </c>
      <c r="BS6" s="134">
        <f t="shared" si="40"/>
        <v>0</v>
      </c>
      <c r="BT6" s="134">
        <f t="shared" si="41"/>
        <v>0</v>
      </c>
      <c r="BU6" s="134">
        <f t="shared" si="42"/>
        <v>0</v>
      </c>
      <c r="BV6" s="134">
        <f t="shared" si="43"/>
        <v>0</v>
      </c>
      <c r="BW6" s="134">
        <f t="shared" si="44"/>
        <v>0</v>
      </c>
      <c r="BX6" s="134">
        <f t="shared" si="45"/>
        <v>0</v>
      </c>
      <c r="BY6" s="134">
        <f t="shared" si="46"/>
        <v>0</v>
      </c>
      <c r="BZ6" s="134">
        <f t="shared" si="47"/>
        <v>0</v>
      </c>
      <c r="CA6" s="134">
        <f t="shared" si="48"/>
        <v>0</v>
      </c>
      <c r="CB6" s="134">
        <f t="shared" si="49"/>
        <v>0</v>
      </c>
      <c r="CC6" s="134">
        <f t="shared" si="50"/>
        <v>0</v>
      </c>
      <c r="CD6" s="134">
        <f t="shared" si="51"/>
        <v>0</v>
      </c>
      <c r="CE6" s="134">
        <f t="shared" si="52"/>
        <v>0</v>
      </c>
      <c r="CF6" s="134">
        <f t="shared" si="53"/>
        <v>0</v>
      </c>
      <c r="CG6" s="134">
        <f t="shared" si="54"/>
        <v>0</v>
      </c>
      <c r="CH6" s="134">
        <f t="shared" si="55"/>
        <v>0</v>
      </c>
      <c r="CI6" s="134">
        <f t="shared" si="56"/>
        <v>0</v>
      </c>
      <c r="CJ6" s="134">
        <f t="shared" si="57"/>
        <v>0</v>
      </c>
      <c r="CK6" s="134"/>
    </row>
    <row r="7" ht="9.75" customHeight="1">
      <c r="A7" s="134" t="s">
        <v>186</v>
      </c>
      <c r="B7" s="134" t="s">
        <v>147</v>
      </c>
      <c r="C7" s="134"/>
      <c r="D7" s="134" t="s">
        <v>163</v>
      </c>
      <c r="E7" s="134" t="s">
        <v>172</v>
      </c>
      <c r="F7" s="134" t="s">
        <v>184</v>
      </c>
      <c r="G7" s="134" t="s">
        <v>192</v>
      </c>
      <c r="H7" s="134"/>
      <c r="I7" s="134"/>
      <c r="J7" s="134" t="s">
        <v>26</v>
      </c>
      <c r="K7" s="134" t="s">
        <v>239</v>
      </c>
      <c r="L7" s="134" t="s">
        <v>231</v>
      </c>
      <c r="M7" s="134"/>
      <c r="N7" s="134" t="s">
        <v>131</v>
      </c>
      <c r="O7" s="134"/>
      <c r="P7" s="134" t="str">
        <f>'Construction and Materials'!B21</f>
        <v>Columns</v>
      </c>
      <c r="Q7" s="134" t="str">
        <f>'Construction and Materials'!C21</f>
        <v>Wood Column (kg)</v>
      </c>
      <c r="R7" s="137">
        <f>'Construction and Materials'!D21</f>
        <v>2709</v>
      </c>
      <c r="S7" s="138">
        <f>IF(NOT(Q7="Pick Type"),VLOOKUP(Q7,'LCA Data'!$C$8:$S$107,6,FALSE)*Lists!R7,0)</f>
        <v>1509.4548</v>
      </c>
      <c r="T7" s="139">
        <f>IF(NOT(Q7="Pick Type"),VLOOKUP(Q7,'LCA Data'!$C$8:$S$107,10,FALSE)*Lists!R7,0)</f>
        <v>60.4107</v>
      </c>
      <c r="U7" s="140">
        <f>IF(NOT(Q7="Pick Type"),VLOOKUP(Q7,'LCA Data'!$C$8:$S$107,14,FALSE)*Lists!R7,0)</f>
        <v>1070.055</v>
      </c>
      <c r="V7" s="141">
        <f t="shared" si="2"/>
        <v>2639.9205</v>
      </c>
      <c r="W7" s="138">
        <f>IF(NOT(Q7="Pick Type"),VLOOKUP(Q7,'LCA Data'!$C$8:$S$107,7,FALSE)*Lists!R7,0)</f>
        <v>18675.16875</v>
      </c>
      <c r="X7" s="139">
        <f>IF(NOT(Q7="Pick Type"),VLOOKUP(Q7,'LCA Data'!$C$8:$S$107,11,FALSE)*Lists!R7,0)</f>
        <v>930.0473784</v>
      </c>
      <c r="Y7" s="140">
        <f>IF(NOT(Q7="Pick Type"),VLOOKUP(Q7,'LCA Data'!$C$8:$S$107,15,FALSE)*Lists!R7,0)</f>
        <v>15084.9148</v>
      </c>
      <c r="Z7" s="141">
        <f t="shared" si="3"/>
        <v>34690.13092</v>
      </c>
      <c r="AA7" s="138">
        <f>IF(NOT(Q7="Pick Type"),VLOOKUP(Q7,'LCA Data'!$C$8:$S$107,8,FALSE)*Lists!R7,0)</f>
        <v>5289.0516</v>
      </c>
      <c r="AB7" s="139">
        <f>IF(NOT(Q7="Pick Type"),VLOOKUP(Q7,'LCA Data'!$C$8:$S$107,12,FALSE)*Lists!R7,0)</f>
        <v>215.6364</v>
      </c>
      <c r="AC7" s="140">
        <f>IF(NOT(Q7="Pick Type"),VLOOKUP(Q7,'LCA Data'!$C$8:$S$107,16,FALSE)*Lists!R7,0)</f>
        <v>15990.00968</v>
      </c>
      <c r="AD7" s="141">
        <f t="shared" si="4"/>
        <v>21494.69768</v>
      </c>
      <c r="AE7" s="142">
        <f>IF(NOT(Q7="Pick Type"),VLOOKUP(Q7,'LCA Data'!$C$8:$S$107,9,FALSE)*Lists!R7,0)</f>
        <v>0.00000003315816</v>
      </c>
      <c r="AF7" s="143">
        <f>IF(NOT(Q7="Pick Type"),VLOOKUP(Q7,'LCA Data'!$C$8:$S$107,13,FALSE)*Lists!R7,0)</f>
        <v>0.00000958986</v>
      </c>
      <c r="AG7" s="144">
        <f>IF(NOT(Q7="Pick Type"),VLOOKUP(Q7,'LCA Data'!$C$8:$S$107,17,FALSE)*Lists!R7,0)</f>
        <v>0.0000000436149</v>
      </c>
      <c r="AH7" s="145">
        <f t="shared" si="5"/>
        <v>0.00000966663306</v>
      </c>
      <c r="AI7" s="134" t="str">
        <f t="shared" si="6"/>
        <v>Wood Column (kg)</v>
      </c>
      <c r="AJ7" s="134"/>
      <c r="AK7" s="146" t="s">
        <v>314</v>
      </c>
      <c r="AL7" s="137">
        <f t="shared" si="7"/>
        <v>2639.9205</v>
      </c>
      <c r="AM7" s="134">
        <f t="shared" si="8"/>
        <v>0</v>
      </c>
      <c r="AN7" s="134">
        <f t="shared" si="9"/>
        <v>0</v>
      </c>
      <c r="AO7" s="134">
        <f t="shared" si="10"/>
        <v>0</v>
      </c>
      <c r="AP7" s="134">
        <f t="shared" si="11"/>
        <v>0</v>
      </c>
      <c r="AQ7" s="134">
        <f t="shared" si="12"/>
        <v>0</v>
      </c>
      <c r="AR7" s="134">
        <f t="shared" si="13"/>
        <v>0</v>
      </c>
      <c r="AS7" s="134">
        <f t="shared" si="14"/>
        <v>0</v>
      </c>
      <c r="AT7" s="134">
        <f t="shared" si="15"/>
        <v>0</v>
      </c>
      <c r="AU7" s="134">
        <f t="shared" si="16"/>
        <v>0</v>
      </c>
      <c r="AV7" s="134">
        <f t="shared" si="17"/>
        <v>0</v>
      </c>
      <c r="AW7" s="134">
        <f t="shared" si="18"/>
        <v>0</v>
      </c>
      <c r="AX7" s="134">
        <f t="shared" si="19"/>
        <v>0</v>
      </c>
      <c r="AY7" s="134">
        <f t="shared" si="20"/>
        <v>0</v>
      </c>
      <c r="AZ7" s="134">
        <f t="shared" si="21"/>
        <v>0</v>
      </c>
      <c r="BA7" s="134">
        <f t="shared" si="22"/>
        <v>0</v>
      </c>
      <c r="BB7" s="134">
        <f t="shared" si="23"/>
        <v>0</v>
      </c>
      <c r="BC7" s="134">
        <f t="shared" si="24"/>
        <v>0</v>
      </c>
      <c r="BD7" s="134">
        <f t="shared" si="25"/>
        <v>0</v>
      </c>
      <c r="BE7" s="134">
        <f t="shared" si="26"/>
        <v>0</v>
      </c>
      <c r="BF7" s="134">
        <f t="shared" si="27"/>
        <v>0</v>
      </c>
      <c r="BG7" s="134">
        <f t="shared" si="28"/>
        <v>0</v>
      </c>
      <c r="BH7" s="134">
        <f t="shared" si="29"/>
        <v>0</v>
      </c>
      <c r="BI7" s="134">
        <f t="shared" si="30"/>
        <v>0</v>
      </c>
      <c r="BJ7" s="134">
        <f t="shared" si="31"/>
        <v>0</v>
      </c>
      <c r="BK7" s="134">
        <f t="shared" si="32"/>
        <v>0</v>
      </c>
      <c r="BL7" s="134">
        <f t="shared" si="33"/>
        <v>0</v>
      </c>
      <c r="BM7" s="134">
        <f t="shared" si="34"/>
        <v>0</v>
      </c>
      <c r="BN7" s="134">
        <f t="shared" si="35"/>
        <v>0</v>
      </c>
      <c r="BO7" s="134">
        <f t="shared" si="36"/>
        <v>0</v>
      </c>
      <c r="BP7" s="134">
        <f t="shared" si="37"/>
        <v>0</v>
      </c>
      <c r="BQ7" s="134">
        <f t="shared" si="38"/>
        <v>0</v>
      </c>
      <c r="BR7" s="134">
        <f t="shared" si="39"/>
        <v>0</v>
      </c>
      <c r="BS7" s="134">
        <f t="shared" si="40"/>
        <v>0</v>
      </c>
      <c r="BT7" s="134">
        <f t="shared" si="41"/>
        <v>0</v>
      </c>
      <c r="BU7" s="134">
        <f t="shared" si="42"/>
        <v>0</v>
      </c>
      <c r="BV7" s="134">
        <f t="shared" si="43"/>
        <v>0</v>
      </c>
      <c r="BW7" s="134">
        <f t="shared" si="44"/>
        <v>0</v>
      </c>
      <c r="BX7" s="134">
        <f t="shared" si="45"/>
        <v>0</v>
      </c>
      <c r="BY7" s="134">
        <f t="shared" si="46"/>
        <v>0</v>
      </c>
      <c r="BZ7" s="134">
        <f t="shared" si="47"/>
        <v>0</v>
      </c>
      <c r="CA7" s="134">
        <f t="shared" si="48"/>
        <v>0</v>
      </c>
      <c r="CB7" s="134">
        <f t="shared" si="49"/>
        <v>0</v>
      </c>
      <c r="CC7" s="134">
        <f t="shared" si="50"/>
        <v>0</v>
      </c>
      <c r="CD7" s="134">
        <f t="shared" si="51"/>
        <v>0</v>
      </c>
      <c r="CE7" s="134">
        <f t="shared" si="52"/>
        <v>0</v>
      </c>
      <c r="CF7" s="134">
        <f t="shared" si="53"/>
        <v>0</v>
      </c>
      <c r="CG7" s="134">
        <f t="shared" si="54"/>
        <v>0</v>
      </c>
      <c r="CH7" s="134">
        <f t="shared" si="55"/>
        <v>0</v>
      </c>
      <c r="CI7" s="134">
        <f t="shared" si="56"/>
        <v>0</v>
      </c>
      <c r="CJ7" s="134">
        <f t="shared" si="57"/>
        <v>0</v>
      </c>
      <c r="CK7" s="134"/>
    </row>
    <row r="8" ht="9.75" customHeight="1">
      <c r="A8" s="134" t="s">
        <v>29</v>
      </c>
      <c r="B8" s="134"/>
      <c r="C8" s="134"/>
      <c r="D8" s="134" t="s">
        <v>165</v>
      </c>
      <c r="E8" s="134" t="s">
        <v>173</v>
      </c>
      <c r="F8" s="134" t="s">
        <v>182</v>
      </c>
      <c r="G8" s="134"/>
      <c r="H8" s="134"/>
      <c r="I8" s="134"/>
      <c r="J8" s="134" t="s">
        <v>209</v>
      </c>
      <c r="K8" s="134" t="s">
        <v>236</v>
      </c>
      <c r="L8" s="134" t="s">
        <v>315</v>
      </c>
      <c r="M8" s="134"/>
      <c r="N8" s="134"/>
      <c r="O8" s="134"/>
      <c r="P8" s="134" t="str">
        <f>'Construction and Materials'!B22</f>
        <v>Foundation</v>
      </c>
      <c r="Q8" s="134" t="str">
        <f>'Construction and Materials'!C22</f>
        <v>Concrete Slab (cy)</v>
      </c>
      <c r="R8" s="137">
        <f>'Construction and Materials'!D22</f>
        <v>10337</v>
      </c>
      <c r="S8" s="138">
        <f>IF(NOT(Q8="Pick Type"),VLOOKUP(Q8,'LCA Data'!$C$8:$S$107,6,FALSE)*Lists!R8,0)</f>
        <v>3322136.071</v>
      </c>
      <c r="T8" s="139">
        <f>IF(NOT(Q8="Pick Type"),VLOOKUP(Q8,'LCA Data'!$C$8:$S$107,10,FALSE)*Lists!R8,0)</f>
        <v>138986.8571</v>
      </c>
      <c r="U8" s="140">
        <f>IF(NOT(Q8="Pick Type"),VLOOKUP(Q8,'LCA Data'!$C$8:$S$107,14,FALSE)*Lists!R8,0)</f>
        <v>56440.02</v>
      </c>
      <c r="V8" s="141">
        <f t="shared" si="2"/>
        <v>3517562.948</v>
      </c>
      <c r="W8" s="138">
        <f>IF(NOT(Q8="Pick Type"),VLOOKUP(Q8,'LCA Data'!$C$8:$S$107,7,FALSE)*Lists!R8,0)</f>
        <v>21182709.74</v>
      </c>
      <c r="X8" s="139">
        <f>IF(NOT(Q8="Pick Type"),VLOOKUP(Q8,'LCA Data'!$C$8:$S$107,11,FALSE)*Lists!R8,0)</f>
        <v>2134539.532</v>
      </c>
      <c r="Y8" s="140">
        <f>IF(NOT(Q8="Pick Type"),VLOOKUP(Q8,'LCA Data'!$C$8:$S$107,15,FALSE)*Lists!R8,0)</f>
        <v>882890.6126</v>
      </c>
      <c r="Z8" s="141">
        <f t="shared" si="3"/>
        <v>24200139.89</v>
      </c>
      <c r="AA8" s="138">
        <f>IF(NOT(Q8="Pick Type"),VLOOKUP(Q8,'LCA Data'!$C$8:$S$107,8,FALSE)*Lists!R8,0)</f>
        <v>39624346.6</v>
      </c>
      <c r="AB8" s="139">
        <f>IF(NOT(Q8="Pick Type"),VLOOKUP(Q8,'LCA Data'!$C$8:$S$107,12,FALSE)*Lists!R8,0)</f>
        <v>495141.2663</v>
      </c>
      <c r="AC8" s="140">
        <f>IF(NOT(Q8="Pick Type"),VLOOKUP(Q8,'LCA Data'!$C$8:$S$107,16,FALSE)*Lists!R8,0)</f>
        <v>935864.0494</v>
      </c>
      <c r="AD8" s="141">
        <f t="shared" si="4"/>
        <v>41055351.91</v>
      </c>
      <c r="AE8" s="142">
        <f>IF(NOT(Q8="Pick Type"),VLOOKUP(Q8,'LCA Data'!$C$8:$S$107,9,FALSE)*Lists!R8,0)</f>
        <v>0.1161879041</v>
      </c>
      <c r="AF8" s="143">
        <f>IF(NOT(Q8="Pick Type"),VLOOKUP(Q8,'LCA Data'!$C$8:$S$107,13,FALSE)*Lists!R8,0)</f>
        <v>0.02203729525</v>
      </c>
      <c r="AG8" s="144">
        <f>IF(NOT(Q8="Pick Type"),VLOOKUP(Q8,'LCA Data'!$C$8:$S$107,17,FALSE)*Lists!R8,0)</f>
        <v>0.000002563576</v>
      </c>
      <c r="AH8" s="145">
        <f t="shared" si="5"/>
        <v>0.1382277629</v>
      </c>
      <c r="AI8" s="134" t="str">
        <f t="shared" si="6"/>
        <v>Concrete Slab (cy)</v>
      </c>
      <c r="AJ8" s="134"/>
      <c r="AK8" s="146" t="s">
        <v>314</v>
      </c>
      <c r="AL8" s="137">
        <f t="shared" si="7"/>
        <v>3517562.948</v>
      </c>
      <c r="AM8" s="134">
        <f t="shared" si="8"/>
        <v>0</v>
      </c>
      <c r="AN8" s="134">
        <f t="shared" si="9"/>
        <v>0</v>
      </c>
      <c r="AO8" s="134">
        <f t="shared" si="10"/>
        <v>0</v>
      </c>
      <c r="AP8" s="134">
        <f t="shared" si="11"/>
        <v>0</v>
      </c>
      <c r="AQ8" s="134">
        <f t="shared" si="12"/>
        <v>0</v>
      </c>
      <c r="AR8" s="134">
        <f t="shared" si="13"/>
        <v>0</v>
      </c>
      <c r="AS8" s="134">
        <f t="shared" si="14"/>
        <v>0</v>
      </c>
      <c r="AT8" s="134">
        <f t="shared" si="15"/>
        <v>0</v>
      </c>
      <c r="AU8" s="134">
        <f t="shared" si="16"/>
        <v>0</v>
      </c>
      <c r="AV8" s="134">
        <f t="shared" si="17"/>
        <v>0</v>
      </c>
      <c r="AW8" s="134">
        <f t="shared" si="18"/>
        <v>0</v>
      </c>
      <c r="AX8" s="134">
        <f t="shared" si="19"/>
        <v>0</v>
      </c>
      <c r="AY8" s="134">
        <f t="shared" si="20"/>
        <v>0</v>
      </c>
      <c r="AZ8" s="134">
        <f t="shared" si="21"/>
        <v>0</v>
      </c>
      <c r="BA8" s="134">
        <f t="shared" si="22"/>
        <v>0</v>
      </c>
      <c r="BB8" s="134">
        <f t="shared" si="23"/>
        <v>0</v>
      </c>
      <c r="BC8" s="134">
        <f t="shared" si="24"/>
        <v>0</v>
      </c>
      <c r="BD8" s="134">
        <f t="shared" si="25"/>
        <v>0</v>
      </c>
      <c r="BE8" s="134">
        <f t="shared" si="26"/>
        <v>0</v>
      </c>
      <c r="BF8" s="134">
        <f t="shared" si="27"/>
        <v>0</v>
      </c>
      <c r="BG8" s="134">
        <f t="shared" si="28"/>
        <v>0</v>
      </c>
      <c r="BH8" s="134">
        <f t="shared" si="29"/>
        <v>0</v>
      </c>
      <c r="BI8" s="134">
        <f t="shared" si="30"/>
        <v>0</v>
      </c>
      <c r="BJ8" s="134">
        <f t="shared" si="31"/>
        <v>0</v>
      </c>
      <c r="BK8" s="134">
        <f t="shared" si="32"/>
        <v>0</v>
      </c>
      <c r="BL8" s="134">
        <f t="shared" si="33"/>
        <v>0</v>
      </c>
      <c r="BM8" s="134">
        <f t="shared" si="34"/>
        <v>0</v>
      </c>
      <c r="BN8" s="134">
        <f t="shared" si="35"/>
        <v>0</v>
      </c>
      <c r="BO8" s="134">
        <f t="shared" si="36"/>
        <v>0</v>
      </c>
      <c r="BP8" s="134">
        <f t="shared" si="37"/>
        <v>0</v>
      </c>
      <c r="BQ8" s="134">
        <f t="shared" si="38"/>
        <v>0</v>
      </c>
      <c r="BR8" s="134">
        <f t="shared" si="39"/>
        <v>0</v>
      </c>
      <c r="BS8" s="134">
        <f t="shared" si="40"/>
        <v>0</v>
      </c>
      <c r="BT8" s="134">
        <f t="shared" si="41"/>
        <v>0</v>
      </c>
      <c r="BU8" s="134">
        <f t="shared" si="42"/>
        <v>0</v>
      </c>
      <c r="BV8" s="134">
        <f t="shared" si="43"/>
        <v>0</v>
      </c>
      <c r="BW8" s="134">
        <f t="shared" si="44"/>
        <v>0</v>
      </c>
      <c r="BX8" s="134">
        <f t="shared" si="45"/>
        <v>0</v>
      </c>
      <c r="BY8" s="134">
        <f t="shared" si="46"/>
        <v>0</v>
      </c>
      <c r="BZ8" s="134">
        <f t="shared" si="47"/>
        <v>0</v>
      </c>
      <c r="CA8" s="134">
        <f t="shared" si="48"/>
        <v>0</v>
      </c>
      <c r="CB8" s="134">
        <f t="shared" si="49"/>
        <v>0</v>
      </c>
      <c r="CC8" s="134">
        <f t="shared" si="50"/>
        <v>0</v>
      </c>
      <c r="CD8" s="134">
        <f t="shared" si="51"/>
        <v>0</v>
      </c>
      <c r="CE8" s="134">
        <f t="shared" si="52"/>
        <v>0</v>
      </c>
      <c r="CF8" s="134">
        <f t="shared" si="53"/>
        <v>0</v>
      </c>
      <c r="CG8" s="134">
        <f t="shared" si="54"/>
        <v>0</v>
      </c>
      <c r="CH8" s="134">
        <f t="shared" si="55"/>
        <v>0</v>
      </c>
      <c r="CI8" s="134">
        <f t="shared" si="56"/>
        <v>0</v>
      </c>
      <c r="CJ8" s="134">
        <f t="shared" si="57"/>
        <v>0</v>
      </c>
      <c r="CK8" s="134"/>
    </row>
    <row r="9" ht="9.75" customHeight="1">
      <c r="A9" s="134" t="s">
        <v>316</v>
      </c>
      <c r="B9" s="134"/>
      <c r="C9" s="134"/>
      <c r="D9" s="134" t="s">
        <v>158</v>
      </c>
      <c r="E9" s="134" t="s">
        <v>170</v>
      </c>
      <c r="F9" s="134"/>
      <c r="G9" s="134"/>
      <c r="H9" s="134"/>
      <c r="I9" s="134"/>
      <c r="J9" s="134" t="s">
        <v>211</v>
      </c>
      <c r="K9" s="134" t="s">
        <v>243</v>
      </c>
      <c r="L9" s="134" t="s">
        <v>232</v>
      </c>
      <c r="M9" s="134"/>
      <c r="N9" s="134"/>
      <c r="O9" s="134"/>
      <c r="P9" s="134" t="str">
        <f>'Construction and Materials'!B23</f>
        <v>Interior Wall</v>
      </c>
      <c r="Q9" s="134" t="str">
        <f>'Construction and Materials'!C23</f>
        <v>Curtain Wall (sf)</v>
      </c>
      <c r="R9" s="137">
        <f>'Construction and Materials'!D23</f>
        <v>12826</v>
      </c>
      <c r="S9" s="138">
        <f>IF(NOT(Q9="Pick Type"),VLOOKUP(Q9,'LCA Data'!$C$8:$S$107,6,FALSE)*Lists!R9,0)</f>
        <v>30397.62</v>
      </c>
      <c r="T9" s="139">
        <f>IF(NOT(Q9="Pick Type"),VLOOKUP(Q9,'LCA Data'!$C$8:$S$107,10,FALSE)*Lists!R9,0)</f>
        <v>678.4954</v>
      </c>
      <c r="U9" s="140">
        <f>IF(NOT(Q9="Pick Type"),VLOOKUP(Q9,'LCA Data'!$C$8:$S$107,14,FALSE)*Lists!R9,0)</f>
        <v>146672.1078</v>
      </c>
      <c r="V9" s="141">
        <f t="shared" si="2"/>
        <v>177748.2232</v>
      </c>
      <c r="W9" s="138">
        <f>IF(NOT(Q9="Pick Type"),VLOOKUP(Q9,'LCA Data'!$C$8:$S$107,7,FALSE)*Lists!R9,0)</f>
        <v>358178.3117</v>
      </c>
      <c r="X9" s="139">
        <f>IF(NOT(Q9="Pick Type"),VLOOKUP(Q9,'LCA Data'!$C$8:$S$107,11,FALSE)*Lists!R9,0)</f>
        <v>10471.47988</v>
      </c>
      <c r="Y9" s="140">
        <f>IF(NOT(Q9="Pick Type"),VLOOKUP(Q9,'LCA Data'!$C$8:$S$107,15,FALSE)*Lists!R9,0)</f>
        <v>2060906.453</v>
      </c>
      <c r="Z9" s="141">
        <f t="shared" si="3"/>
        <v>2429556.245</v>
      </c>
      <c r="AA9" s="138">
        <f>IF(NOT(Q9="Pick Type"),VLOOKUP(Q9,'LCA Data'!$C$8:$S$107,8,FALSE)*Lists!R9,0)</f>
        <v>275759</v>
      </c>
      <c r="AB9" s="139">
        <f>IF(NOT(Q9="Pick Type"),VLOOKUP(Q9,'LCA Data'!$C$8:$S$107,12,FALSE)*Lists!R9,0)</f>
        <v>2424.114</v>
      </c>
      <c r="AC9" s="140">
        <f>IF(NOT(Q9="Pick Type"),VLOOKUP(Q9,'LCA Data'!$C$8:$S$107,16,FALSE)*Lists!R9,0)</f>
        <v>2184560.841</v>
      </c>
      <c r="AD9" s="141">
        <f t="shared" si="4"/>
        <v>2462743.955</v>
      </c>
      <c r="AE9" s="142">
        <f>IF(NOT(Q9="Pick Type"),VLOOKUP(Q9,'LCA Data'!$C$8:$S$107,9,FALSE)*Lists!R9,0)</f>
        <v>0.002731938</v>
      </c>
      <c r="AF9" s="143">
        <f>IF(NOT(Q9="Pick Type"),VLOOKUP(Q9,'LCA Data'!$C$8:$S$107,13,FALSE)*Lists!R9,0)</f>
        <v>0.0001077384</v>
      </c>
      <c r="AG9" s="144">
        <f>IF(NOT(Q9="Pick Type"),VLOOKUP(Q9,'LCA Data'!$C$8:$S$107,17,FALSE)*Lists!R9,0)</f>
        <v>0.000005989742</v>
      </c>
      <c r="AH9" s="145">
        <f t="shared" si="5"/>
        <v>0.002845666142</v>
      </c>
      <c r="AI9" s="134" t="str">
        <f t="shared" si="6"/>
        <v>Curtain Wall (sf)</v>
      </c>
      <c r="AJ9" s="134"/>
      <c r="AK9" s="146" t="s">
        <v>314</v>
      </c>
      <c r="AL9" s="137">
        <f t="shared" si="7"/>
        <v>177748.2232</v>
      </c>
      <c r="AM9" s="134">
        <f t="shared" si="8"/>
        <v>0</v>
      </c>
      <c r="AN9" s="134">
        <f t="shared" si="9"/>
        <v>0</v>
      </c>
      <c r="AO9" s="134">
        <f t="shared" si="10"/>
        <v>0</v>
      </c>
      <c r="AP9" s="134">
        <f t="shared" si="11"/>
        <v>0</v>
      </c>
      <c r="AQ9" s="134">
        <f t="shared" si="12"/>
        <v>0</v>
      </c>
      <c r="AR9" s="134">
        <f t="shared" si="13"/>
        <v>0</v>
      </c>
      <c r="AS9" s="134">
        <f t="shared" si="14"/>
        <v>0</v>
      </c>
      <c r="AT9" s="134">
        <f t="shared" si="15"/>
        <v>0</v>
      </c>
      <c r="AU9" s="134">
        <f t="shared" si="16"/>
        <v>0</v>
      </c>
      <c r="AV9" s="134">
        <f t="shared" si="17"/>
        <v>0</v>
      </c>
      <c r="AW9" s="134">
        <f t="shared" si="18"/>
        <v>0</v>
      </c>
      <c r="AX9" s="134">
        <f t="shared" si="19"/>
        <v>0</v>
      </c>
      <c r="AY9" s="134">
        <f t="shared" si="20"/>
        <v>0</v>
      </c>
      <c r="AZ9" s="134">
        <f t="shared" si="21"/>
        <v>0</v>
      </c>
      <c r="BA9" s="134">
        <f t="shared" si="22"/>
        <v>0</v>
      </c>
      <c r="BB9" s="134">
        <f t="shared" si="23"/>
        <v>0</v>
      </c>
      <c r="BC9" s="134">
        <f t="shared" si="24"/>
        <v>0</v>
      </c>
      <c r="BD9" s="134">
        <f t="shared" si="25"/>
        <v>0</v>
      </c>
      <c r="BE9" s="134">
        <f t="shared" si="26"/>
        <v>0</v>
      </c>
      <c r="BF9" s="134">
        <f t="shared" si="27"/>
        <v>0</v>
      </c>
      <c r="BG9" s="134">
        <f t="shared" si="28"/>
        <v>0</v>
      </c>
      <c r="BH9" s="134">
        <f t="shared" si="29"/>
        <v>0</v>
      </c>
      <c r="BI9" s="134">
        <f t="shared" si="30"/>
        <v>0</v>
      </c>
      <c r="BJ9" s="134">
        <f t="shared" si="31"/>
        <v>0</v>
      </c>
      <c r="BK9" s="134">
        <f t="shared" si="32"/>
        <v>0</v>
      </c>
      <c r="BL9" s="134">
        <f t="shared" si="33"/>
        <v>0</v>
      </c>
      <c r="BM9" s="134">
        <f t="shared" si="34"/>
        <v>0</v>
      </c>
      <c r="BN9" s="134">
        <f t="shared" si="35"/>
        <v>0</v>
      </c>
      <c r="BO9" s="134">
        <f t="shared" si="36"/>
        <v>0</v>
      </c>
      <c r="BP9" s="134">
        <f t="shared" si="37"/>
        <v>0</v>
      </c>
      <c r="BQ9" s="134">
        <f t="shared" si="38"/>
        <v>0</v>
      </c>
      <c r="BR9" s="134">
        <f t="shared" si="39"/>
        <v>0</v>
      </c>
      <c r="BS9" s="134">
        <f t="shared" si="40"/>
        <v>0</v>
      </c>
      <c r="BT9" s="134">
        <f t="shared" si="41"/>
        <v>0</v>
      </c>
      <c r="BU9" s="134">
        <f t="shared" si="42"/>
        <v>0</v>
      </c>
      <c r="BV9" s="134">
        <f t="shared" si="43"/>
        <v>0</v>
      </c>
      <c r="BW9" s="134">
        <f t="shared" si="44"/>
        <v>0</v>
      </c>
      <c r="BX9" s="134">
        <f t="shared" si="45"/>
        <v>0</v>
      </c>
      <c r="BY9" s="134">
        <f t="shared" si="46"/>
        <v>0</v>
      </c>
      <c r="BZ9" s="134">
        <f t="shared" si="47"/>
        <v>0</v>
      </c>
      <c r="CA9" s="134">
        <f t="shared" si="48"/>
        <v>0</v>
      </c>
      <c r="CB9" s="134">
        <f t="shared" si="49"/>
        <v>0</v>
      </c>
      <c r="CC9" s="134">
        <f t="shared" si="50"/>
        <v>0</v>
      </c>
      <c r="CD9" s="134">
        <f t="shared" si="51"/>
        <v>0</v>
      </c>
      <c r="CE9" s="134">
        <f t="shared" si="52"/>
        <v>0</v>
      </c>
      <c r="CF9" s="134">
        <f t="shared" si="53"/>
        <v>0</v>
      </c>
      <c r="CG9" s="134">
        <f t="shared" si="54"/>
        <v>0</v>
      </c>
      <c r="CH9" s="134">
        <f t="shared" si="55"/>
        <v>0</v>
      </c>
      <c r="CI9" s="134">
        <f t="shared" si="56"/>
        <v>0</v>
      </c>
      <c r="CJ9" s="134">
        <f t="shared" si="57"/>
        <v>0</v>
      </c>
      <c r="CK9" s="134"/>
    </row>
    <row r="10" ht="9.75" customHeight="1">
      <c r="A10" s="134" t="s">
        <v>23</v>
      </c>
      <c r="B10" s="134"/>
      <c r="C10" s="134"/>
      <c r="D10" s="134" t="s">
        <v>159</v>
      </c>
      <c r="E10" s="134" t="s">
        <v>175</v>
      </c>
      <c r="F10" s="134"/>
      <c r="G10" s="134"/>
      <c r="H10" s="134"/>
      <c r="I10" s="134"/>
      <c r="J10" s="134" t="s">
        <v>216</v>
      </c>
      <c r="K10" s="134" t="s">
        <v>235</v>
      </c>
      <c r="L10" s="134"/>
      <c r="M10" s="134"/>
      <c r="N10" s="134"/>
      <c r="O10" s="134"/>
      <c r="P10" s="134" t="str">
        <f>'Construction and Materials'!B24</f>
        <v>Pick Assembly</v>
      </c>
      <c r="Q10" s="134" t="str">
        <f>'Construction and Materials'!C24</f>
        <v>Pick Type</v>
      </c>
      <c r="R10" s="137" t="str">
        <f>'Construction and Materials'!D24</f>
        <v/>
      </c>
      <c r="S10" s="138">
        <f>IF(NOT(Q10="Pick Type"),VLOOKUP(Q10,'LCA Data'!$C$8:$S$107,6,FALSE)*Lists!R10,0)</f>
        <v>0</v>
      </c>
      <c r="T10" s="139">
        <f>IF(NOT(Q10="Pick Type"),VLOOKUP(Q10,'LCA Data'!$C$8:$S$107,10,FALSE)*Lists!R10,0)</f>
        <v>0</v>
      </c>
      <c r="U10" s="140">
        <f>IF(NOT(Q10="Pick Type"),VLOOKUP(Q10,'LCA Data'!$C$8:$S$107,14,FALSE)*Lists!R10,0)</f>
        <v>0</v>
      </c>
      <c r="V10" s="141">
        <f t="shared" si="2"/>
        <v>0</v>
      </c>
      <c r="W10" s="138">
        <f>IF(NOT(Q10="Pick Type"),VLOOKUP(Q10,'LCA Data'!$C$8:$S$107,7,FALSE)*Lists!R10,0)</f>
        <v>0</v>
      </c>
      <c r="X10" s="139">
        <f>IF(NOT(Q10="Pick Type"),VLOOKUP(Q10,'LCA Data'!$C$8:$S$107,11,FALSE)*Lists!R10,0)</f>
        <v>0</v>
      </c>
      <c r="Y10" s="140">
        <f>IF(NOT(Q10="Pick Type"),VLOOKUP(Q10,'LCA Data'!$C$8:$S$107,15,FALSE)*Lists!R10,0)</f>
        <v>0</v>
      </c>
      <c r="Z10" s="141">
        <f t="shared" si="3"/>
        <v>0</v>
      </c>
      <c r="AA10" s="138">
        <f>IF(NOT(Q10="Pick Type"),VLOOKUP(Q10,'LCA Data'!$C$8:$S$107,8,FALSE)*Lists!R10,0)</f>
        <v>0</v>
      </c>
      <c r="AB10" s="139">
        <f>IF(NOT(Q10="Pick Type"),VLOOKUP(Q10,'LCA Data'!$C$8:$S$107,12,FALSE)*Lists!R10,0)</f>
        <v>0</v>
      </c>
      <c r="AC10" s="140">
        <f>IF(NOT(Q10="Pick Type"),VLOOKUP(Q10,'LCA Data'!$C$8:$S$107,16,FALSE)*Lists!R10,0)</f>
        <v>0</v>
      </c>
      <c r="AD10" s="141">
        <f t="shared" si="4"/>
        <v>0</v>
      </c>
      <c r="AE10" s="142">
        <f>IF(NOT(Q10="Pick Type"),VLOOKUP(Q10,'LCA Data'!$C$8:$S$107,9,FALSE)*Lists!R10,0)</f>
        <v>0</v>
      </c>
      <c r="AF10" s="143">
        <f>IF(NOT(Q10="Pick Type"),VLOOKUP(Q10,'LCA Data'!$C$8:$S$107,13,FALSE)*Lists!R10,0)</f>
        <v>0</v>
      </c>
      <c r="AG10" s="144">
        <f>IF(NOT(Q10="Pick Type"),VLOOKUP(Q10,'LCA Data'!$C$8:$S$107,17,FALSE)*Lists!R10,0)</f>
        <v>0</v>
      </c>
      <c r="AH10" s="145">
        <f t="shared" si="5"/>
        <v>0</v>
      </c>
      <c r="AI10" s="134" t="str">
        <f t="shared" si="6"/>
        <v>#N/A</v>
      </c>
      <c r="AJ10" s="134"/>
      <c r="AK10" s="146" t="s">
        <v>314</v>
      </c>
      <c r="AL10" s="137">
        <f t="shared" si="7"/>
        <v>0</v>
      </c>
      <c r="AM10" s="134">
        <f t="shared" si="8"/>
        <v>0</v>
      </c>
      <c r="AN10" s="134">
        <f t="shared" si="9"/>
        <v>0</v>
      </c>
      <c r="AO10" s="134">
        <f t="shared" si="10"/>
        <v>0</v>
      </c>
      <c r="AP10" s="134">
        <f t="shared" si="11"/>
        <v>0</v>
      </c>
      <c r="AQ10" s="134">
        <f t="shared" si="12"/>
        <v>0</v>
      </c>
      <c r="AR10" s="134">
        <f t="shared" si="13"/>
        <v>0</v>
      </c>
      <c r="AS10" s="134">
        <f t="shared" si="14"/>
        <v>0</v>
      </c>
      <c r="AT10" s="134">
        <f t="shared" si="15"/>
        <v>0</v>
      </c>
      <c r="AU10" s="134">
        <f t="shared" si="16"/>
        <v>0</v>
      </c>
      <c r="AV10" s="134">
        <f t="shared" si="17"/>
        <v>0</v>
      </c>
      <c r="AW10" s="134">
        <f t="shared" si="18"/>
        <v>0</v>
      </c>
      <c r="AX10" s="134">
        <f t="shared" si="19"/>
        <v>0</v>
      </c>
      <c r="AY10" s="134">
        <f t="shared" si="20"/>
        <v>0</v>
      </c>
      <c r="AZ10" s="134">
        <f t="shared" si="21"/>
        <v>0</v>
      </c>
      <c r="BA10" s="134">
        <f t="shared" si="22"/>
        <v>0</v>
      </c>
      <c r="BB10" s="134">
        <f t="shared" si="23"/>
        <v>0</v>
      </c>
      <c r="BC10" s="134">
        <f t="shared" si="24"/>
        <v>0</v>
      </c>
      <c r="BD10" s="134">
        <f t="shared" si="25"/>
        <v>0</v>
      </c>
      <c r="BE10" s="134">
        <f t="shared" si="26"/>
        <v>0</v>
      </c>
      <c r="BF10" s="134">
        <f t="shared" si="27"/>
        <v>0</v>
      </c>
      <c r="BG10" s="134">
        <f t="shared" si="28"/>
        <v>0</v>
      </c>
      <c r="BH10" s="134">
        <f t="shared" si="29"/>
        <v>0</v>
      </c>
      <c r="BI10" s="134">
        <f t="shared" si="30"/>
        <v>0</v>
      </c>
      <c r="BJ10" s="134">
        <f t="shared" si="31"/>
        <v>0</v>
      </c>
      <c r="BK10" s="134">
        <f t="shared" si="32"/>
        <v>0</v>
      </c>
      <c r="BL10" s="134">
        <f t="shared" si="33"/>
        <v>0</v>
      </c>
      <c r="BM10" s="134">
        <f t="shared" si="34"/>
        <v>0</v>
      </c>
      <c r="BN10" s="134">
        <f t="shared" si="35"/>
        <v>0</v>
      </c>
      <c r="BO10" s="134">
        <f t="shared" si="36"/>
        <v>0</v>
      </c>
      <c r="BP10" s="134">
        <f t="shared" si="37"/>
        <v>0</v>
      </c>
      <c r="BQ10" s="134">
        <f t="shared" si="38"/>
        <v>0</v>
      </c>
      <c r="BR10" s="134">
        <f t="shared" si="39"/>
        <v>0</v>
      </c>
      <c r="BS10" s="134">
        <f t="shared" si="40"/>
        <v>0</v>
      </c>
      <c r="BT10" s="134">
        <f t="shared" si="41"/>
        <v>0</v>
      </c>
      <c r="BU10" s="134">
        <f t="shared" si="42"/>
        <v>0</v>
      </c>
      <c r="BV10" s="134">
        <f t="shared" si="43"/>
        <v>0</v>
      </c>
      <c r="BW10" s="134">
        <f t="shared" si="44"/>
        <v>0</v>
      </c>
      <c r="BX10" s="134">
        <f t="shared" si="45"/>
        <v>0</v>
      </c>
      <c r="BY10" s="134">
        <f t="shared" si="46"/>
        <v>0</v>
      </c>
      <c r="BZ10" s="134">
        <f t="shared" si="47"/>
        <v>0</v>
      </c>
      <c r="CA10" s="134">
        <f t="shared" si="48"/>
        <v>0</v>
      </c>
      <c r="CB10" s="134">
        <f t="shared" si="49"/>
        <v>0</v>
      </c>
      <c r="CC10" s="134">
        <f t="shared" si="50"/>
        <v>0</v>
      </c>
      <c r="CD10" s="134">
        <f t="shared" si="51"/>
        <v>0</v>
      </c>
      <c r="CE10" s="134">
        <f t="shared" si="52"/>
        <v>0</v>
      </c>
      <c r="CF10" s="134">
        <f t="shared" si="53"/>
        <v>0</v>
      </c>
      <c r="CG10" s="134">
        <f t="shared" si="54"/>
        <v>0</v>
      </c>
      <c r="CH10" s="134">
        <f t="shared" si="55"/>
        <v>0</v>
      </c>
      <c r="CI10" s="134">
        <f t="shared" si="56"/>
        <v>0</v>
      </c>
      <c r="CJ10" s="134">
        <f t="shared" si="57"/>
        <v>0</v>
      </c>
      <c r="CK10" s="134"/>
    </row>
    <row r="11" ht="9.75" customHeight="1">
      <c r="A11" s="134" t="s">
        <v>233</v>
      </c>
      <c r="B11" s="134"/>
      <c r="C11" s="134"/>
      <c r="D11" s="134" t="s">
        <v>164</v>
      </c>
      <c r="E11" s="134" t="s">
        <v>169</v>
      </c>
      <c r="F11" s="134"/>
      <c r="G11" s="134"/>
      <c r="H11" s="134"/>
      <c r="I11" s="134"/>
      <c r="J11" s="134" t="s">
        <v>217</v>
      </c>
      <c r="K11" s="134" t="s">
        <v>234</v>
      </c>
      <c r="L11" s="134"/>
      <c r="M11" s="134"/>
      <c r="N11" s="134"/>
      <c r="O11" s="134"/>
      <c r="P11" s="134" t="str">
        <f>'Construction and Materials'!B25</f>
        <v>Pick Assembly</v>
      </c>
      <c r="Q11" s="134" t="str">
        <f>'Construction and Materials'!C25</f>
        <v>Pick Type</v>
      </c>
      <c r="R11" s="137" t="str">
        <f>'Construction and Materials'!D25</f>
        <v/>
      </c>
      <c r="S11" s="138">
        <f>IF(NOT(Q11="Pick Type"),VLOOKUP(Q11,'LCA Data'!$C$8:$S$107,6,FALSE)*Lists!R11,0)</f>
        <v>0</v>
      </c>
      <c r="T11" s="139">
        <f>IF(NOT(Q11="Pick Type"),VLOOKUP(Q11,'LCA Data'!$C$8:$S$107,10,FALSE)*Lists!R11,0)</f>
        <v>0</v>
      </c>
      <c r="U11" s="140">
        <f>IF(NOT(Q11="Pick Type"),VLOOKUP(Q11,'LCA Data'!$C$8:$S$107,14,FALSE)*Lists!R11,0)</f>
        <v>0</v>
      </c>
      <c r="V11" s="141">
        <f t="shared" si="2"/>
        <v>0</v>
      </c>
      <c r="W11" s="138">
        <f>IF(NOT(Q11="Pick Type"),VLOOKUP(Q11,'LCA Data'!$C$8:$S$107,7,FALSE)*Lists!R11,0)</f>
        <v>0</v>
      </c>
      <c r="X11" s="139">
        <f>IF(NOT(Q11="Pick Type"),VLOOKUP(Q11,'LCA Data'!$C$8:$S$107,11,FALSE)*Lists!R11,0)</f>
        <v>0</v>
      </c>
      <c r="Y11" s="140">
        <f>IF(NOT(Q11="Pick Type"),VLOOKUP(Q11,'LCA Data'!$C$8:$S$107,15,FALSE)*Lists!R11,0)</f>
        <v>0</v>
      </c>
      <c r="Z11" s="141">
        <f t="shared" si="3"/>
        <v>0</v>
      </c>
      <c r="AA11" s="138">
        <f>IF(NOT(Q11="Pick Type"),VLOOKUP(Q11,'LCA Data'!$C$8:$S$107,8,FALSE)*Lists!R11,0)</f>
        <v>0</v>
      </c>
      <c r="AB11" s="139">
        <f>IF(NOT(Q11="Pick Type"),VLOOKUP(Q11,'LCA Data'!$C$8:$S$107,12,FALSE)*Lists!R11,0)</f>
        <v>0</v>
      </c>
      <c r="AC11" s="140">
        <f>IF(NOT(Q11="Pick Type"),VLOOKUP(Q11,'LCA Data'!$C$8:$S$107,16,FALSE)*Lists!R11,0)</f>
        <v>0</v>
      </c>
      <c r="AD11" s="141">
        <f t="shared" si="4"/>
        <v>0</v>
      </c>
      <c r="AE11" s="142">
        <f>IF(NOT(Q11="Pick Type"),VLOOKUP(Q11,'LCA Data'!$C$8:$S$107,9,FALSE)*Lists!R11,0)</f>
        <v>0</v>
      </c>
      <c r="AF11" s="143">
        <f>IF(NOT(Q11="Pick Type"),VLOOKUP(Q11,'LCA Data'!$C$8:$S$107,13,FALSE)*Lists!R11,0)</f>
        <v>0</v>
      </c>
      <c r="AG11" s="144">
        <f>IF(NOT(Q11="Pick Type"),VLOOKUP(Q11,'LCA Data'!$C$8:$S$107,17,FALSE)*Lists!R11,0)</f>
        <v>0</v>
      </c>
      <c r="AH11" s="145">
        <f t="shared" si="5"/>
        <v>0</v>
      </c>
      <c r="AI11" s="134" t="str">
        <f t="shared" si="6"/>
        <v>#N/A</v>
      </c>
      <c r="AJ11" s="134"/>
      <c r="AK11" s="146" t="s">
        <v>314</v>
      </c>
      <c r="AL11" s="137">
        <f t="shared" si="7"/>
        <v>0</v>
      </c>
      <c r="AM11" s="134">
        <f t="shared" si="8"/>
        <v>0</v>
      </c>
      <c r="AN11" s="134">
        <f t="shared" si="9"/>
        <v>0</v>
      </c>
      <c r="AO11" s="134">
        <f t="shared" si="10"/>
        <v>0</v>
      </c>
      <c r="AP11" s="134">
        <f t="shared" si="11"/>
        <v>0</v>
      </c>
      <c r="AQ11" s="134">
        <f t="shared" si="12"/>
        <v>0</v>
      </c>
      <c r="AR11" s="134">
        <f t="shared" si="13"/>
        <v>0</v>
      </c>
      <c r="AS11" s="134">
        <f t="shared" si="14"/>
        <v>0</v>
      </c>
      <c r="AT11" s="134">
        <f t="shared" si="15"/>
        <v>0</v>
      </c>
      <c r="AU11" s="134">
        <f t="shared" si="16"/>
        <v>0</v>
      </c>
      <c r="AV11" s="134">
        <f t="shared" si="17"/>
        <v>0</v>
      </c>
      <c r="AW11" s="134">
        <f t="shared" si="18"/>
        <v>0</v>
      </c>
      <c r="AX11" s="134">
        <f t="shared" si="19"/>
        <v>0</v>
      </c>
      <c r="AY11" s="134">
        <f t="shared" si="20"/>
        <v>0</v>
      </c>
      <c r="AZ11" s="134">
        <f t="shared" si="21"/>
        <v>0</v>
      </c>
      <c r="BA11" s="134">
        <f t="shared" si="22"/>
        <v>0</v>
      </c>
      <c r="BB11" s="134">
        <f t="shared" si="23"/>
        <v>0</v>
      </c>
      <c r="BC11" s="134">
        <f t="shared" si="24"/>
        <v>0</v>
      </c>
      <c r="BD11" s="134">
        <f t="shared" si="25"/>
        <v>0</v>
      </c>
      <c r="BE11" s="134">
        <f t="shared" si="26"/>
        <v>0</v>
      </c>
      <c r="BF11" s="134">
        <f t="shared" si="27"/>
        <v>0</v>
      </c>
      <c r="BG11" s="134">
        <f t="shared" si="28"/>
        <v>0</v>
      </c>
      <c r="BH11" s="134">
        <f t="shared" si="29"/>
        <v>0</v>
      </c>
      <c r="BI11" s="134">
        <f t="shared" si="30"/>
        <v>0</v>
      </c>
      <c r="BJ11" s="134">
        <f t="shared" si="31"/>
        <v>0</v>
      </c>
      <c r="BK11" s="134">
        <f t="shared" si="32"/>
        <v>0</v>
      </c>
      <c r="BL11" s="134">
        <f t="shared" si="33"/>
        <v>0</v>
      </c>
      <c r="BM11" s="134">
        <f t="shared" si="34"/>
        <v>0</v>
      </c>
      <c r="BN11" s="134">
        <f t="shared" si="35"/>
        <v>0</v>
      </c>
      <c r="BO11" s="134">
        <f t="shared" si="36"/>
        <v>0</v>
      </c>
      <c r="BP11" s="134">
        <f t="shared" si="37"/>
        <v>0</v>
      </c>
      <c r="BQ11" s="134">
        <f t="shared" si="38"/>
        <v>0</v>
      </c>
      <c r="BR11" s="134">
        <f t="shared" si="39"/>
        <v>0</v>
      </c>
      <c r="BS11" s="134">
        <f t="shared" si="40"/>
        <v>0</v>
      </c>
      <c r="BT11" s="134">
        <f t="shared" si="41"/>
        <v>0</v>
      </c>
      <c r="BU11" s="134">
        <f t="shared" si="42"/>
        <v>0</v>
      </c>
      <c r="BV11" s="134">
        <f t="shared" si="43"/>
        <v>0</v>
      </c>
      <c r="BW11" s="134">
        <f t="shared" si="44"/>
        <v>0</v>
      </c>
      <c r="BX11" s="134">
        <f t="shared" si="45"/>
        <v>0</v>
      </c>
      <c r="BY11" s="134">
        <f t="shared" si="46"/>
        <v>0</v>
      </c>
      <c r="BZ11" s="134">
        <f t="shared" si="47"/>
        <v>0</v>
      </c>
      <c r="CA11" s="134">
        <f t="shared" si="48"/>
        <v>0</v>
      </c>
      <c r="CB11" s="134">
        <f t="shared" si="49"/>
        <v>0</v>
      </c>
      <c r="CC11" s="134">
        <f t="shared" si="50"/>
        <v>0</v>
      </c>
      <c r="CD11" s="134">
        <f t="shared" si="51"/>
        <v>0</v>
      </c>
      <c r="CE11" s="134">
        <f t="shared" si="52"/>
        <v>0</v>
      </c>
      <c r="CF11" s="134">
        <f t="shared" si="53"/>
        <v>0</v>
      </c>
      <c r="CG11" s="134">
        <f t="shared" si="54"/>
        <v>0</v>
      </c>
      <c r="CH11" s="134">
        <f t="shared" si="55"/>
        <v>0</v>
      </c>
      <c r="CI11" s="134">
        <f t="shared" si="56"/>
        <v>0</v>
      </c>
      <c r="CJ11" s="134">
        <f t="shared" si="57"/>
        <v>0</v>
      </c>
      <c r="CK11" s="134"/>
    </row>
    <row r="12" ht="9.75" customHeight="1">
      <c r="A12" s="134" t="s">
        <v>224</v>
      </c>
      <c r="B12" s="134"/>
      <c r="C12" s="134"/>
      <c r="D12" s="134"/>
      <c r="E12" s="134"/>
      <c r="F12" s="134"/>
      <c r="G12" s="134"/>
      <c r="H12" s="134"/>
      <c r="I12" s="134"/>
      <c r="J12" s="134" t="s">
        <v>218</v>
      </c>
      <c r="K12" s="134"/>
      <c r="L12" s="134"/>
      <c r="M12" s="134"/>
      <c r="N12" s="134"/>
      <c r="O12" s="134"/>
      <c r="P12" s="134" t="str">
        <f>'Construction and Materials'!B26</f>
        <v>Pick Assembly</v>
      </c>
      <c r="Q12" s="134" t="str">
        <f>'Construction and Materials'!C26</f>
        <v>Pick Type</v>
      </c>
      <c r="R12" s="137" t="str">
        <f>'Construction and Materials'!D26</f>
        <v/>
      </c>
      <c r="S12" s="138">
        <f>IF(NOT(Q12="Pick Type"),VLOOKUP(Q12,'LCA Data'!$C$8:$S$107,6,FALSE)*Lists!R12,0)</f>
        <v>0</v>
      </c>
      <c r="T12" s="139">
        <f>IF(NOT(Q12="Pick Type"),VLOOKUP(Q12,'LCA Data'!$C$8:$S$107,10,FALSE)*Lists!R12,0)</f>
        <v>0</v>
      </c>
      <c r="U12" s="140">
        <f>IF(NOT(Q12="Pick Type"),VLOOKUP(Q12,'LCA Data'!$C$8:$S$107,14,FALSE)*Lists!R12,0)</f>
        <v>0</v>
      </c>
      <c r="V12" s="141">
        <f t="shared" si="2"/>
        <v>0</v>
      </c>
      <c r="W12" s="138">
        <f>IF(NOT(Q12="Pick Type"),VLOOKUP(Q12,'LCA Data'!$C$8:$S$107,7,FALSE)*Lists!R12,0)</f>
        <v>0</v>
      </c>
      <c r="X12" s="139">
        <f>IF(NOT(Q12="Pick Type"),VLOOKUP(Q12,'LCA Data'!$C$8:$S$107,11,FALSE)*Lists!R12,0)</f>
        <v>0</v>
      </c>
      <c r="Y12" s="140">
        <f>IF(NOT(Q12="Pick Type"),VLOOKUP(Q12,'LCA Data'!$C$8:$S$107,15,FALSE)*Lists!R12,0)</f>
        <v>0</v>
      </c>
      <c r="Z12" s="141">
        <f t="shared" si="3"/>
        <v>0</v>
      </c>
      <c r="AA12" s="138">
        <f>IF(NOT(Q12="Pick Type"),VLOOKUP(Q12,'LCA Data'!$C$8:$S$107,8,FALSE)*Lists!R12,0)</f>
        <v>0</v>
      </c>
      <c r="AB12" s="139">
        <f>IF(NOT(Q12="Pick Type"),VLOOKUP(Q12,'LCA Data'!$C$8:$S$107,12,FALSE)*Lists!R12,0)</f>
        <v>0</v>
      </c>
      <c r="AC12" s="140">
        <f>IF(NOT(Q12="Pick Type"),VLOOKUP(Q12,'LCA Data'!$C$8:$S$107,16,FALSE)*Lists!R12,0)</f>
        <v>0</v>
      </c>
      <c r="AD12" s="141">
        <f t="shared" si="4"/>
        <v>0</v>
      </c>
      <c r="AE12" s="142">
        <f>IF(NOT(Q12="Pick Type"),VLOOKUP(Q12,'LCA Data'!$C$8:$S$107,9,FALSE)*Lists!R12,0)</f>
        <v>0</v>
      </c>
      <c r="AF12" s="143">
        <f>IF(NOT(Q12="Pick Type"),VLOOKUP(Q12,'LCA Data'!$C$8:$S$107,13,FALSE)*Lists!R12,0)</f>
        <v>0</v>
      </c>
      <c r="AG12" s="144">
        <f>IF(NOT(Q12="Pick Type"),VLOOKUP(Q12,'LCA Data'!$C$8:$S$107,17,FALSE)*Lists!R12,0)</f>
        <v>0</v>
      </c>
      <c r="AH12" s="145">
        <f t="shared" si="5"/>
        <v>0</v>
      </c>
      <c r="AI12" s="134" t="str">
        <f t="shared" si="6"/>
        <v>#N/A</v>
      </c>
      <c r="AJ12" s="134"/>
      <c r="AK12" s="146" t="s">
        <v>314</v>
      </c>
      <c r="AL12" s="137">
        <f t="shared" si="7"/>
        <v>0</v>
      </c>
      <c r="AM12" s="134">
        <f t="shared" si="8"/>
        <v>0</v>
      </c>
      <c r="AN12" s="134">
        <f t="shared" si="9"/>
        <v>0</v>
      </c>
      <c r="AO12" s="134">
        <f t="shared" si="10"/>
        <v>0</v>
      </c>
      <c r="AP12" s="134">
        <f t="shared" si="11"/>
        <v>0</v>
      </c>
      <c r="AQ12" s="134">
        <f t="shared" si="12"/>
        <v>0</v>
      </c>
      <c r="AR12" s="134">
        <f t="shared" si="13"/>
        <v>0</v>
      </c>
      <c r="AS12" s="134">
        <f t="shared" si="14"/>
        <v>0</v>
      </c>
      <c r="AT12" s="134">
        <f t="shared" si="15"/>
        <v>0</v>
      </c>
      <c r="AU12" s="134">
        <f t="shared" si="16"/>
        <v>0</v>
      </c>
      <c r="AV12" s="134">
        <f t="shared" si="17"/>
        <v>0</v>
      </c>
      <c r="AW12" s="134">
        <f t="shared" si="18"/>
        <v>0</v>
      </c>
      <c r="AX12" s="134">
        <f t="shared" si="19"/>
        <v>0</v>
      </c>
      <c r="AY12" s="134">
        <f t="shared" si="20"/>
        <v>0</v>
      </c>
      <c r="AZ12" s="134">
        <f t="shared" si="21"/>
        <v>0</v>
      </c>
      <c r="BA12" s="134">
        <f t="shared" si="22"/>
        <v>0</v>
      </c>
      <c r="BB12" s="134">
        <f t="shared" si="23"/>
        <v>0</v>
      </c>
      <c r="BC12" s="134">
        <f t="shared" si="24"/>
        <v>0</v>
      </c>
      <c r="BD12" s="134">
        <f t="shared" si="25"/>
        <v>0</v>
      </c>
      <c r="BE12" s="134">
        <f t="shared" si="26"/>
        <v>0</v>
      </c>
      <c r="BF12" s="134">
        <f t="shared" si="27"/>
        <v>0</v>
      </c>
      <c r="BG12" s="134">
        <f t="shared" si="28"/>
        <v>0</v>
      </c>
      <c r="BH12" s="134">
        <f t="shared" si="29"/>
        <v>0</v>
      </c>
      <c r="BI12" s="134">
        <f t="shared" si="30"/>
        <v>0</v>
      </c>
      <c r="BJ12" s="134">
        <f t="shared" si="31"/>
        <v>0</v>
      </c>
      <c r="BK12" s="134">
        <f t="shared" si="32"/>
        <v>0</v>
      </c>
      <c r="BL12" s="134">
        <f t="shared" si="33"/>
        <v>0</v>
      </c>
      <c r="BM12" s="134">
        <f t="shared" si="34"/>
        <v>0</v>
      </c>
      <c r="BN12" s="134">
        <f t="shared" si="35"/>
        <v>0</v>
      </c>
      <c r="BO12" s="134">
        <f t="shared" si="36"/>
        <v>0</v>
      </c>
      <c r="BP12" s="134">
        <f t="shared" si="37"/>
        <v>0</v>
      </c>
      <c r="BQ12" s="134">
        <f t="shared" si="38"/>
        <v>0</v>
      </c>
      <c r="BR12" s="134">
        <f t="shared" si="39"/>
        <v>0</v>
      </c>
      <c r="BS12" s="134">
        <f t="shared" si="40"/>
        <v>0</v>
      </c>
      <c r="BT12" s="134">
        <f t="shared" si="41"/>
        <v>0</v>
      </c>
      <c r="BU12" s="134">
        <f t="shared" si="42"/>
        <v>0</v>
      </c>
      <c r="BV12" s="134">
        <f t="shared" si="43"/>
        <v>0</v>
      </c>
      <c r="BW12" s="134">
        <f t="shared" si="44"/>
        <v>0</v>
      </c>
      <c r="BX12" s="134">
        <f t="shared" si="45"/>
        <v>0</v>
      </c>
      <c r="BY12" s="134">
        <f t="shared" si="46"/>
        <v>0</v>
      </c>
      <c r="BZ12" s="134">
        <f t="shared" si="47"/>
        <v>0</v>
      </c>
      <c r="CA12" s="134">
        <f t="shared" si="48"/>
        <v>0</v>
      </c>
      <c r="CB12" s="134">
        <f t="shared" si="49"/>
        <v>0</v>
      </c>
      <c r="CC12" s="134">
        <f t="shared" si="50"/>
        <v>0</v>
      </c>
      <c r="CD12" s="134">
        <f t="shared" si="51"/>
        <v>0</v>
      </c>
      <c r="CE12" s="134">
        <f t="shared" si="52"/>
        <v>0</v>
      </c>
      <c r="CF12" s="134">
        <f t="shared" si="53"/>
        <v>0</v>
      </c>
      <c r="CG12" s="134">
        <f t="shared" si="54"/>
        <v>0</v>
      </c>
      <c r="CH12" s="134">
        <f t="shared" si="55"/>
        <v>0</v>
      </c>
      <c r="CI12" s="134">
        <f t="shared" si="56"/>
        <v>0</v>
      </c>
      <c r="CJ12" s="134">
        <f t="shared" si="57"/>
        <v>0</v>
      </c>
      <c r="CK12" s="134"/>
    </row>
    <row r="13" ht="9.75" customHeight="1">
      <c r="A13" s="134" t="str">
        <f>IF('Construction and Materials'!B18="Foundation","DATA!B1:B4",IF('Construction and Materials'!B18="Interior Wall","DATA!C1:C4",IF('Construction and Materials'!B18="Exterior Wall","DATA!D1:D4",IF('Construction and Materials'!B18="Floor","DATA!E1:E4",IF('Construction and Materials'!B18="Roof","DATA!F1:F4",IF('Construction and Materials'!B18="Window","DATA!G1:G4",IF('Construction and Materials'!B18="Columns","DATA!H1:H4",IF('Construction and Materials'!B18="Beams","DATA!I1:I4","DATA!J1"))))))))</f>
        <v>DATA!J1</v>
      </c>
      <c r="B13" s="134"/>
      <c r="C13" s="147"/>
      <c r="D13" s="134"/>
      <c r="E13" s="134"/>
      <c r="F13" s="134"/>
      <c r="G13" s="134"/>
      <c r="H13" s="134"/>
      <c r="I13" s="134"/>
      <c r="J13" s="134" t="s">
        <v>221</v>
      </c>
      <c r="K13" s="134"/>
      <c r="L13" s="134"/>
      <c r="M13" s="134"/>
      <c r="N13" s="134"/>
      <c r="O13" s="134"/>
      <c r="P13" s="134" t="str">
        <f>'Construction and Materials'!B27</f>
        <v>Pick Assembly</v>
      </c>
      <c r="Q13" s="134" t="str">
        <f>'Construction and Materials'!C27</f>
        <v>Pick Type</v>
      </c>
      <c r="R13" s="137" t="str">
        <f>'Construction and Materials'!D27</f>
        <v/>
      </c>
      <c r="S13" s="138">
        <f>IF(NOT(Q13="Pick Type"),VLOOKUP(Q13,'LCA Data'!$C$8:$S$107,6,FALSE)*Lists!R13,0)</f>
        <v>0</v>
      </c>
      <c r="T13" s="139">
        <f>IF(NOT(Q13="Pick Type"),VLOOKUP(Q13,'LCA Data'!$C$8:$S$107,10,FALSE)*Lists!R13,0)</f>
        <v>0</v>
      </c>
      <c r="U13" s="140">
        <f>IF(NOT(Q13="Pick Type"),VLOOKUP(Q13,'LCA Data'!$C$8:$S$107,14,FALSE)*Lists!R13,0)</f>
        <v>0</v>
      </c>
      <c r="V13" s="141">
        <f t="shared" si="2"/>
        <v>0</v>
      </c>
      <c r="W13" s="138">
        <f>IF(NOT(Q13="Pick Type"),VLOOKUP(Q13,'LCA Data'!$C$8:$S$107,7,FALSE)*Lists!R13,0)</f>
        <v>0</v>
      </c>
      <c r="X13" s="139">
        <f>IF(NOT(Q13="Pick Type"),VLOOKUP(Q13,'LCA Data'!$C$8:$S$107,11,FALSE)*Lists!R13,0)</f>
        <v>0</v>
      </c>
      <c r="Y13" s="140">
        <f>IF(NOT(Q13="Pick Type"),VLOOKUP(Q13,'LCA Data'!$C$8:$S$107,15,FALSE)*Lists!R13,0)</f>
        <v>0</v>
      </c>
      <c r="Z13" s="141">
        <f t="shared" si="3"/>
        <v>0</v>
      </c>
      <c r="AA13" s="138">
        <f>IF(NOT(Q13="Pick Type"),VLOOKUP(Q13,'LCA Data'!$C$8:$S$107,8,FALSE)*Lists!R13,0)</f>
        <v>0</v>
      </c>
      <c r="AB13" s="139">
        <f>IF(NOT(Q13="Pick Type"),VLOOKUP(Q13,'LCA Data'!$C$8:$S$107,12,FALSE)*Lists!R13,0)</f>
        <v>0</v>
      </c>
      <c r="AC13" s="140">
        <f>IF(NOT(Q13="Pick Type"),VLOOKUP(Q13,'LCA Data'!$C$8:$S$107,16,FALSE)*Lists!R13,0)</f>
        <v>0</v>
      </c>
      <c r="AD13" s="141">
        <f t="shared" si="4"/>
        <v>0</v>
      </c>
      <c r="AE13" s="142">
        <f>IF(NOT(Q13="Pick Type"),VLOOKUP(Q13,'LCA Data'!$C$8:$S$107,9,FALSE)*Lists!R13,0)</f>
        <v>0</v>
      </c>
      <c r="AF13" s="143">
        <f>IF(NOT(Q13="Pick Type"),VLOOKUP(Q13,'LCA Data'!$C$8:$S$107,13,FALSE)*Lists!R13,0)</f>
        <v>0</v>
      </c>
      <c r="AG13" s="144">
        <f>IF(NOT(Q13="Pick Type"),VLOOKUP(Q13,'LCA Data'!$C$8:$S$107,17,FALSE)*Lists!R13,0)</f>
        <v>0</v>
      </c>
      <c r="AH13" s="145">
        <f t="shared" si="5"/>
        <v>0</v>
      </c>
      <c r="AI13" s="134" t="str">
        <f t="shared" si="6"/>
        <v>#N/A</v>
      </c>
      <c r="AJ13" s="134"/>
      <c r="AK13" s="146" t="s">
        <v>314</v>
      </c>
      <c r="AL13" s="137">
        <f t="shared" si="7"/>
        <v>0</v>
      </c>
      <c r="AM13" s="134">
        <f t="shared" si="8"/>
        <v>0</v>
      </c>
      <c r="AN13" s="134">
        <f t="shared" si="9"/>
        <v>0</v>
      </c>
      <c r="AO13" s="134">
        <f t="shared" si="10"/>
        <v>0</v>
      </c>
      <c r="AP13" s="134">
        <f t="shared" si="11"/>
        <v>0</v>
      </c>
      <c r="AQ13" s="134">
        <f t="shared" si="12"/>
        <v>0</v>
      </c>
      <c r="AR13" s="134">
        <f t="shared" si="13"/>
        <v>0</v>
      </c>
      <c r="AS13" s="134">
        <f t="shared" si="14"/>
        <v>0</v>
      </c>
      <c r="AT13" s="134">
        <f t="shared" si="15"/>
        <v>0</v>
      </c>
      <c r="AU13" s="134">
        <f t="shared" si="16"/>
        <v>0</v>
      </c>
      <c r="AV13" s="134">
        <f t="shared" si="17"/>
        <v>0</v>
      </c>
      <c r="AW13" s="134">
        <f t="shared" si="18"/>
        <v>0</v>
      </c>
      <c r="AX13" s="134">
        <f t="shared" si="19"/>
        <v>0</v>
      </c>
      <c r="AY13" s="134">
        <f t="shared" si="20"/>
        <v>0</v>
      </c>
      <c r="AZ13" s="134">
        <f t="shared" si="21"/>
        <v>0</v>
      </c>
      <c r="BA13" s="134">
        <f t="shared" si="22"/>
        <v>0</v>
      </c>
      <c r="BB13" s="134">
        <f t="shared" si="23"/>
        <v>0</v>
      </c>
      <c r="BC13" s="134">
        <f t="shared" si="24"/>
        <v>0</v>
      </c>
      <c r="BD13" s="134">
        <f t="shared" si="25"/>
        <v>0</v>
      </c>
      <c r="BE13" s="134">
        <f t="shared" si="26"/>
        <v>0</v>
      </c>
      <c r="BF13" s="134">
        <f t="shared" si="27"/>
        <v>0</v>
      </c>
      <c r="BG13" s="134">
        <f t="shared" si="28"/>
        <v>0</v>
      </c>
      <c r="BH13" s="134">
        <f t="shared" si="29"/>
        <v>0</v>
      </c>
      <c r="BI13" s="134">
        <f t="shared" si="30"/>
        <v>0</v>
      </c>
      <c r="BJ13" s="134">
        <f t="shared" si="31"/>
        <v>0</v>
      </c>
      <c r="BK13" s="134">
        <f t="shared" si="32"/>
        <v>0</v>
      </c>
      <c r="BL13" s="134">
        <f t="shared" si="33"/>
        <v>0</v>
      </c>
      <c r="BM13" s="134">
        <f t="shared" si="34"/>
        <v>0</v>
      </c>
      <c r="BN13" s="134">
        <f t="shared" si="35"/>
        <v>0</v>
      </c>
      <c r="BO13" s="134">
        <f t="shared" si="36"/>
        <v>0</v>
      </c>
      <c r="BP13" s="134">
        <f t="shared" si="37"/>
        <v>0</v>
      </c>
      <c r="BQ13" s="134">
        <f t="shared" si="38"/>
        <v>0</v>
      </c>
      <c r="BR13" s="134">
        <f t="shared" si="39"/>
        <v>0</v>
      </c>
      <c r="BS13" s="134">
        <f t="shared" si="40"/>
        <v>0</v>
      </c>
      <c r="BT13" s="134">
        <f t="shared" si="41"/>
        <v>0</v>
      </c>
      <c r="BU13" s="134">
        <f t="shared" si="42"/>
        <v>0</v>
      </c>
      <c r="BV13" s="134">
        <f t="shared" si="43"/>
        <v>0</v>
      </c>
      <c r="BW13" s="134">
        <f t="shared" si="44"/>
        <v>0</v>
      </c>
      <c r="BX13" s="134">
        <f t="shared" si="45"/>
        <v>0</v>
      </c>
      <c r="BY13" s="134">
        <f t="shared" si="46"/>
        <v>0</v>
      </c>
      <c r="BZ13" s="134">
        <f t="shared" si="47"/>
        <v>0</v>
      </c>
      <c r="CA13" s="134">
        <f t="shared" si="48"/>
        <v>0</v>
      </c>
      <c r="CB13" s="134">
        <f t="shared" si="49"/>
        <v>0</v>
      </c>
      <c r="CC13" s="134">
        <f t="shared" si="50"/>
        <v>0</v>
      </c>
      <c r="CD13" s="134">
        <f t="shared" si="51"/>
        <v>0</v>
      </c>
      <c r="CE13" s="134">
        <f t="shared" si="52"/>
        <v>0</v>
      </c>
      <c r="CF13" s="134">
        <f t="shared" si="53"/>
        <v>0</v>
      </c>
      <c r="CG13" s="134">
        <f t="shared" si="54"/>
        <v>0</v>
      </c>
      <c r="CH13" s="134">
        <f t="shared" si="55"/>
        <v>0</v>
      </c>
      <c r="CI13" s="134">
        <f t="shared" si="56"/>
        <v>0</v>
      </c>
      <c r="CJ13" s="134">
        <f t="shared" si="57"/>
        <v>0</v>
      </c>
      <c r="CK13" s="134"/>
    </row>
    <row r="14" ht="9.75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 t="s">
        <v>215</v>
      </c>
      <c r="K14" s="134"/>
      <c r="L14" s="134"/>
      <c r="M14" s="134"/>
      <c r="N14" s="134"/>
      <c r="O14" s="134"/>
      <c r="P14" s="134" t="str">
        <f>'Construction and Materials'!B28</f>
        <v>Pick Assembly</v>
      </c>
      <c r="Q14" s="134" t="str">
        <f>'Construction and Materials'!C28</f>
        <v>Pick Type</v>
      </c>
      <c r="R14" s="137" t="str">
        <f>'Construction and Materials'!D28</f>
        <v/>
      </c>
      <c r="S14" s="138">
        <f>IF(NOT(Q14="Pick Type"),VLOOKUP(Q14,'LCA Data'!$C$8:$S$107,6,FALSE)*Lists!R14,0)</f>
        <v>0</v>
      </c>
      <c r="T14" s="139">
        <f>IF(NOT(Q14="Pick Type"),VLOOKUP(Q14,'LCA Data'!$C$8:$S$107,10,FALSE)*Lists!R14,0)</f>
        <v>0</v>
      </c>
      <c r="U14" s="140">
        <f>IF(NOT(Q14="Pick Type"),VLOOKUP(Q14,'LCA Data'!$C$8:$S$107,14,FALSE)*Lists!R14,0)</f>
        <v>0</v>
      </c>
      <c r="V14" s="141">
        <f t="shared" si="2"/>
        <v>0</v>
      </c>
      <c r="W14" s="138">
        <f>IF(NOT(Q14="Pick Type"),VLOOKUP(Q14,'LCA Data'!$C$8:$S$107,7,FALSE)*Lists!R14,0)</f>
        <v>0</v>
      </c>
      <c r="X14" s="139">
        <f>IF(NOT(Q14="Pick Type"),VLOOKUP(Q14,'LCA Data'!$C$8:$S$107,11,FALSE)*Lists!R14,0)</f>
        <v>0</v>
      </c>
      <c r="Y14" s="140">
        <f>IF(NOT(Q14="Pick Type"),VLOOKUP(Q14,'LCA Data'!$C$8:$S$107,15,FALSE)*Lists!R14,0)</f>
        <v>0</v>
      </c>
      <c r="Z14" s="141">
        <f t="shared" si="3"/>
        <v>0</v>
      </c>
      <c r="AA14" s="138">
        <f>IF(NOT(Q14="Pick Type"),VLOOKUP(Q14,'LCA Data'!$C$8:$S$107,8,FALSE)*Lists!R14,0)</f>
        <v>0</v>
      </c>
      <c r="AB14" s="139">
        <f>IF(NOT(Q14="Pick Type"),VLOOKUP(Q14,'LCA Data'!$C$8:$S$107,12,FALSE)*Lists!R14,0)</f>
        <v>0</v>
      </c>
      <c r="AC14" s="140">
        <f>IF(NOT(Q14="Pick Type"),VLOOKUP(Q14,'LCA Data'!$C$8:$S$107,16,FALSE)*Lists!R14,0)</f>
        <v>0</v>
      </c>
      <c r="AD14" s="141">
        <f t="shared" si="4"/>
        <v>0</v>
      </c>
      <c r="AE14" s="142">
        <f>IF(NOT(Q14="Pick Type"),VLOOKUP(Q14,'LCA Data'!$C$8:$S$107,9,FALSE)*Lists!R14,0)</f>
        <v>0</v>
      </c>
      <c r="AF14" s="143">
        <f>IF(NOT(Q14="Pick Type"),VLOOKUP(Q14,'LCA Data'!$C$8:$S$107,13,FALSE)*Lists!R14,0)</f>
        <v>0</v>
      </c>
      <c r="AG14" s="144">
        <f>IF(NOT(Q14="Pick Type"),VLOOKUP(Q14,'LCA Data'!$C$8:$S$107,17,FALSE)*Lists!R14,0)</f>
        <v>0</v>
      </c>
      <c r="AH14" s="145">
        <f t="shared" si="5"/>
        <v>0</v>
      </c>
      <c r="AI14" s="134" t="str">
        <f t="shared" si="6"/>
        <v>#N/A</v>
      </c>
      <c r="AJ14" s="134"/>
      <c r="AK14" s="146" t="s">
        <v>314</v>
      </c>
      <c r="AL14" s="137">
        <f t="shared" si="7"/>
        <v>0</v>
      </c>
      <c r="AM14" s="134">
        <f t="shared" si="8"/>
        <v>0</v>
      </c>
      <c r="AN14" s="134">
        <f t="shared" si="9"/>
        <v>0</v>
      </c>
      <c r="AO14" s="134">
        <f t="shared" si="10"/>
        <v>0</v>
      </c>
      <c r="AP14" s="134">
        <f t="shared" si="11"/>
        <v>0</v>
      </c>
      <c r="AQ14" s="134">
        <f t="shared" si="12"/>
        <v>0</v>
      </c>
      <c r="AR14" s="134">
        <f t="shared" si="13"/>
        <v>0</v>
      </c>
      <c r="AS14" s="134">
        <f t="shared" si="14"/>
        <v>0</v>
      </c>
      <c r="AT14" s="134">
        <f t="shared" si="15"/>
        <v>0</v>
      </c>
      <c r="AU14" s="134">
        <f t="shared" si="16"/>
        <v>0</v>
      </c>
      <c r="AV14" s="134">
        <f t="shared" si="17"/>
        <v>0</v>
      </c>
      <c r="AW14" s="134">
        <f t="shared" si="18"/>
        <v>0</v>
      </c>
      <c r="AX14" s="134">
        <f t="shared" si="19"/>
        <v>0</v>
      </c>
      <c r="AY14" s="134">
        <f t="shared" si="20"/>
        <v>0</v>
      </c>
      <c r="AZ14" s="134">
        <f t="shared" si="21"/>
        <v>0</v>
      </c>
      <c r="BA14" s="134">
        <f t="shared" si="22"/>
        <v>0</v>
      </c>
      <c r="BB14" s="134">
        <f t="shared" si="23"/>
        <v>0</v>
      </c>
      <c r="BC14" s="134">
        <f t="shared" si="24"/>
        <v>0</v>
      </c>
      <c r="BD14" s="134">
        <f t="shared" si="25"/>
        <v>0</v>
      </c>
      <c r="BE14" s="134">
        <f t="shared" si="26"/>
        <v>0</v>
      </c>
      <c r="BF14" s="134">
        <f t="shared" si="27"/>
        <v>0</v>
      </c>
      <c r="BG14" s="134">
        <f t="shared" si="28"/>
        <v>0</v>
      </c>
      <c r="BH14" s="134">
        <f t="shared" si="29"/>
        <v>0</v>
      </c>
      <c r="BI14" s="134">
        <f t="shared" si="30"/>
        <v>0</v>
      </c>
      <c r="BJ14" s="134">
        <f t="shared" si="31"/>
        <v>0</v>
      </c>
      <c r="BK14" s="134">
        <f t="shared" si="32"/>
        <v>0</v>
      </c>
      <c r="BL14" s="134">
        <f t="shared" si="33"/>
        <v>0</v>
      </c>
      <c r="BM14" s="134">
        <f t="shared" si="34"/>
        <v>0</v>
      </c>
      <c r="BN14" s="134">
        <f t="shared" si="35"/>
        <v>0</v>
      </c>
      <c r="BO14" s="134">
        <f t="shared" si="36"/>
        <v>0</v>
      </c>
      <c r="BP14" s="134">
        <f t="shared" si="37"/>
        <v>0</v>
      </c>
      <c r="BQ14" s="134">
        <f t="shared" si="38"/>
        <v>0</v>
      </c>
      <c r="BR14" s="134">
        <f t="shared" si="39"/>
        <v>0</v>
      </c>
      <c r="BS14" s="134">
        <f t="shared" si="40"/>
        <v>0</v>
      </c>
      <c r="BT14" s="134">
        <f t="shared" si="41"/>
        <v>0</v>
      </c>
      <c r="BU14" s="134">
        <f t="shared" si="42"/>
        <v>0</v>
      </c>
      <c r="BV14" s="134">
        <f t="shared" si="43"/>
        <v>0</v>
      </c>
      <c r="BW14" s="134">
        <f t="shared" si="44"/>
        <v>0</v>
      </c>
      <c r="BX14" s="134">
        <f t="shared" si="45"/>
        <v>0</v>
      </c>
      <c r="BY14" s="134">
        <f t="shared" si="46"/>
        <v>0</v>
      </c>
      <c r="BZ14" s="134">
        <f t="shared" si="47"/>
        <v>0</v>
      </c>
      <c r="CA14" s="134">
        <f t="shared" si="48"/>
        <v>0</v>
      </c>
      <c r="CB14" s="134">
        <f t="shared" si="49"/>
        <v>0</v>
      </c>
      <c r="CC14" s="134">
        <f t="shared" si="50"/>
        <v>0</v>
      </c>
      <c r="CD14" s="134">
        <f t="shared" si="51"/>
        <v>0</v>
      </c>
      <c r="CE14" s="134">
        <f t="shared" si="52"/>
        <v>0</v>
      </c>
      <c r="CF14" s="134">
        <f t="shared" si="53"/>
        <v>0</v>
      </c>
      <c r="CG14" s="134">
        <f t="shared" si="54"/>
        <v>0</v>
      </c>
      <c r="CH14" s="134">
        <f t="shared" si="55"/>
        <v>0</v>
      </c>
      <c r="CI14" s="134">
        <f t="shared" si="56"/>
        <v>0</v>
      </c>
      <c r="CJ14" s="134">
        <f t="shared" si="57"/>
        <v>0</v>
      </c>
      <c r="CK14" s="134"/>
    </row>
    <row r="15" ht="9.75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 t="s">
        <v>222</v>
      </c>
      <c r="K15" s="134"/>
      <c r="L15" s="134"/>
      <c r="M15" s="134"/>
      <c r="N15" s="134"/>
      <c r="O15" s="134"/>
      <c r="P15" s="134" t="str">
        <f>'Construction and Materials'!B29</f>
        <v>Pick Assembly</v>
      </c>
      <c r="Q15" s="134" t="str">
        <f>'Construction and Materials'!C29</f>
        <v>Pick Type</v>
      </c>
      <c r="R15" s="137" t="str">
        <f>'Construction and Materials'!D29</f>
        <v/>
      </c>
      <c r="S15" s="138">
        <f>IF(NOT(Q15="Pick Type"),VLOOKUP(Q15,'LCA Data'!$C$8:$S$107,6,FALSE)*Lists!R15,0)</f>
        <v>0</v>
      </c>
      <c r="T15" s="139">
        <f>IF(NOT(Q15="Pick Type"),VLOOKUP(Q15,'LCA Data'!$C$8:$S$107,10,FALSE)*Lists!R15,0)</f>
        <v>0</v>
      </c>
      <c r="U15" s="140">
        <f>IF(NOT(Q15="Pick Type"),VLOOKUP(Q15,'LCA Data'!$C$8:$S$107,14,FALSE)*Lists!R15,0)</f>
        <v>0</v>
      </c>
      <c r="V15" s="141">
        <f t="shared" si="2"/>
        <v>0</v>
      </c>
      <c r="W15" s="138">
        <f>IF(NOT(Q15="Pick Type"),VLOOKUP(Q15,'LCA Data'!$C$8:$S$107,7,FALSE)*Lists!R15,0)</f>
        <v>0</v>
      </c>
      <c r="X15" s="139">
        <f>IF(NOT(Q15="Pick Type"),VLOOKUP(Q15,'LCA Data'!$C$8:$S$107,11,FALSE)*Lists!R15,0)</f>
        <v>0</v>
      </c>
      <c r="Y15" s="140">
        <f>IF(NOT(Q15="Pick Type"),VLOOKUP(Q15,'LCA Data'!$C$8:$S$107,15,FALSE)*Lists!R15,0)</f>
        <v>0</v>
      </c>
      <c r="Z15" s="141">
        <f t="shared" si="3"/>
        <v>0</v>
      </c>
      <c r="AA15" s="138">
        <f>IF(NOT(Q15="Pick Type"),VLOOKUP(Q15,'LCA Data'!$C$8:$S$107,8,FALSE)*Lists!R15,0)</f>
        <v>0</v>
      </c>
      <c r="AB15" s="139">
        <f>IF(NOT(Q15="Pick Type"),VLOOKUP(Q15,'LCA Data'!$C$8:$S$107,12,FALSE)*Lists!R15,0)</f>
        <v>0</v>
      </c>
      <c r="AC15" s="140">
        <f>IF(NOT(Q15="Pick Type"),VLOOKUP(Q15,'LCA Data'!$C$8:$S$107,16,FALSE)*Lists!R15,0)</f>
        <v>0</v>
      </c>
      <c r="AD15" s="141">
        <f t="shared" si="4"/>
        <v>0</v>
      </c>
      <c r="AE15" s="142">
        <f>IF(NOT(Q15="Pick Type"),VLOOKUP(Q15,'LCA Data'!$C$8:$S$107,9,FALSE)*Lists!R15,0)</f>
        <v>0</v>
      </c>
      <c r="AF15" s="143">
        <f>IF(NOT(Q15="Pick Type"),VLOOKUP(Q15,'LCA Data'!$C$8:$S$107,13,FALSE)*Lists!R15,0)</f>
        <v>0</v>
      </c>
      <c r="AG15" s="144">
        <f>IF(NOT(Q15="Pick Type"),VLOOKUP(Q15,'LCA Data'!$C$8:$S$107,17,FALSE)*Lists!R15,0)</f>
        <v>0</v>
      </c>
      <c r="AH15" s="145">
        <f t="shared" si="5"/>
        <v>0</v>
      </c>
      <c r="AI15" s="134" t="str">
        <f t="shared" si="6"/>
        <v>#N/A</v>
      </c>
      <c r="AJ15" s="134"/>
      <c r="AK15" s="146" t="s">
        <v>314</v>
      </c>
      <c r="AL15" s="137">
        <f t="shared" si="7"/>
        <v>0</v>
      </c>
      <c r="AM15" s="134">
        <f t="shared" si="8"/>
        <v>0</v>
      </c>
      <c r="AN15" s="134">
        <f t="shared" si="9"/>
        <v>0</v>
      </c>
      <c r="AO15" s="134">
        <f t="shared" si="10"/>
        <v>0</v>
      </c>
      <c r="AP15" s="134">
        <f t="shared" si="11"/>
        <v>0</v>
      </c>
      <c r="AQ15" s="134">
        <f t="shared" si="12"/>
        <v>0</v>
      </c>
      <c r="AR15" s="134">
        <f t="shared" si="13"/>
        <v>0</v>
      </c>
      <c r="AS15" s="134">
        <f t="shared" si="14"/>
        <v>0</v>
      </c>
      <c r="AT15" s="134">
        <f t="shared" si="15"/>
        <v>0</v>
      </c>
      <c r="AU15" s="134">
        <f t="shared" si="16"/>
        <v>0</v>
      </c>
      <c r="AV15" s="134">
        <f t="shared" si="17"/>
        <v>0</v>
      </c>
      <c r="AW15" s="134">
        <f t="shared" si="18"/>
        <v>0</v>
      </c>
      <c r="AX15" s="134">
        <f t="shared" si="19"/>
        <v>0</v>
      </c>
      <c r="AY15" s="134">
        <f t="shared" si="20"/>
        <v>0</v>
      </c>
      <c r="AZ15" s="134">
        <f t="shared" si="21"/>
        <v>0</v>
      </c>
      <c r="BA15" s="134">
        <f t="shared" si="22"/>
        <v>0</v>
      </c>
      <c r="BB15" s="134">
        <f t="shared" si="23"/>
        <v>0</v>
      </c>
      <c r="BC15" s="134">
        <f t="shared" si="24"/>
        <v>0</v>
      </c>
      <c r="BD15" s="134">
        <f t="shared" si="25"/>
        <v>0</v>
      </c>
      <c r="BE15" s="134">
        <f t="shared" si="26"/>
        <v>0</v>
      </c>
      <c r="BF15" s="134">
        <f t="shared" si="27"/>
        <v>0</v>
      </c>
      <c r="BG15" s="134">
        <f t="shared" si="28"/>
        <v>0</v>
      </c>
      <c r="BH15" s="134">
        <f t="shared" si="29"/>
        <v>0</v>
      </c>
      <c r="BI15" s="134">
        <f t="shared" si="30"/>
        <v>0</v>
      </c>
      <c r="BJ15" s="134">
        <f t="shared" si="31"/>
        <v>0</v>
      </c>
      <c r="BK15" s="134">
        <f t="shared" si="32"/>
        <v>0</v>
      </c>
      <c r="BL15" s="134">
        <f t="shared" si="33"/>
        <v>0</v>
      </c>
      <c r="BM15" s="134">
        <f t="shared" si="34"/>
        <v>0</v>
      </c>
      <c r="BN15" s="134">
        <f t="shared" si="35"/>
        <v>0</v>
      </c>
      <c r="BO15" s="134">
        <f t="shared" si="36"/>
        <v>0</v>
      </c>
      <c r="BP15" s="134">
        <f t="shared" si="37"/>
        <v>0</v>
      </c>
      <c r="BQ15" s="134">
        <f t="shared" si="38"/>
        <v>0</v>
      </c>
      <c r="BR15" s="134">
        <f t="shared" si="39"/>
        <v>0</v>
      </c>
      <c r="BS15" s="134">
        <f t="shared" si="40"/>
        <v>0</v>
      </c>
      <c r="BT15" s="134">
        <f t="shared" si="41"/>
        <v>0</v>
      </c>
      <c r="BU15" s="134">
        <f t="shared" si="42"/>
        <v>0</v>
      </c>
      <c r="BV15" s="134">
        <f t="shared" si="43"/>
        <v>0</v>
      </c>
      <c r="BW15" s="134">
        <f t="shared" si="44"/>
        <v>0</v>
      </c>
      <c r="BX15" s="134">
        <f t="shared" si="45"/>
        <v>0</v>
      </c>
      <c r="BY15" s="134">
        <f t="shared" si="46"/>
        <v>0</v>
      </c>
      <c r="BZ15" s="134">
        <f t="shared" si="47"/>
        <v>0</v>
      </c>
      <c r="CA15" s="134">
        <f t="shared" si="48"/>
        <v>0</v>
      </c>
      <c r="CB15" s="134">
        <f t="shared" si="49"/>
        <v>0</v>
      </c>
      <c r="CC15" s="134">
        <f t="shared" si="50"/>
        <v>0</v>
      </c>
      <c r="CD15" s="134">
        <f t="shared" si="51"/>
        <v>0</v>
      </c>
      <c r="CE15" s="134">
        <f t="shared" si="52"/>
        <v>0</v>
      </c>
      <c r="CF15" s="134">
        <f t="shared" si="53"/>
        <v>0</v>
      </c>
      <c r="CG15" s="134">
        <f t="shared" si="54"/>
        <v>0</v>
      </c>
      <c r="CH15" s="134">
        <f t="shared" si="55"/>
        <v>0</v>
      </c>
      <c r="CI15" s="134">
        <f t="shared" si="56"/>
        <v>0</v>
      </c>
      <c r="CJ15" s="134">
        <f t="shared" si="57"/>
        <v>0</v>
      </c>
      <c r="CK15" s="134"/>
    </row>
    <row r="16" ht="9.75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 t="s">
        <v>223</v>
      </c>
      <c r="K16" s="134"/>
      <c r="L16" s="134"/>
      <c r="M16" s="134"/>
      <c r="N16" s="134"/>
      <c r="O16" s="134"/>
      <c r="P16" s="134" t="str">
        <f>'Construction and Materials'!B30</f>
        <v>Pick Assembly</v>
      </c>
      <c r="Q16" s="134" t="str">
        <f>'Construction and Materials'!C30</f>
        <v>Pick Type</v>
      </c>
      <c r="R16" s="137" t="str">
        <f>'Construction and Materials'!D30</f>
        <v/>
      </c>
      <c r="S16" s="138">
        <f>IF(NOT(Q16="Pick Type"),VLOOKUP(Q16,'LCA Data'!$C$8:$S$107,6,FALSE)*Lists!R16,0)</f>
        <v>0</v>
      </c>
      <c r="T16" s="139">
        <f>IF(NOT(Q16="Pick Type"),VLOOKUP(Q16,'LCA Data'!$C$8:$S$107,10,FALSE)*Lists!R16,0)</f>
        <v>0</v>
      </c>
      <c r="U16" s="140">
        <f>IF(NOT(Q16="Pick Type"),VLOOKUP(Q16,'LCA Data'!$C$8:$S$107,14,FALSE)*Lists!R16,0)</f>
        <v>0</v>
      </c>
      <c r="V16" s="141">
        <f t="shared" si="2"/>
        <v>0</v>
      </c>
      <c r="W16" s="138">
        <f>IF(NOT(Q16="Pick Type"),VLOOKUP(Q16,'LCA Data'!$C$8:$S$107,7,FALSE)*Lists!R16,0)</f>
        <v>0</v>
      </c>
      <c r="X16" s="139">
        <f>IF(NOT(Q16="Pick Type"),VLOOKUP(Q16,'LCA Data'!$C$8:$S$107,11,FALSE)*Lists!R16,0)</f>
        <v>0</v>
      </c>
      <c r="Y16" s="140">
        <f>IF(NOT(Q16="Pick Type"),VLOOKUP(Q16,'LCA Data'!$C$8:$S$107,15,FALSE)*Lists!R16,0)</f>
        <v>0</v>
      </c>
      <c r="Z16" s="141">
        <f t="shared" si="3"/>
        <v>0</v>
      </c>
      <c r="AA16" s="138">
        <f>IF(NOT(Q16="Pick Type"),VLOOKUP(Q16,'LCA Data'!$C$8:$S$107,8,FALSE)*Lists!R16,0)</f>
        <v>0</v>
      </c>
      <c r="AB16" s="139">
        <f>IF(NOT(Q16="Pick Type"),VLOOKUP(Q16,'LCA Data'!$C$8:$S$107,12,FALSE)*Lists!R16,0)</f>
        <v>0</v>
      </c>
      <c r="AC16" s="140">
        <f>IF(NOT(Q16="Pick Type"),VLOOKUP(Q16,'LCA Data'!$C$8:$S$107,16,FALSE)*Lists!R16,0)</f>
        <v>0</v>
      </c>
      <c r="AD16" s="141">
        <f t="shared" si="4"/>
        <v>0</v>
      </c>
      <c r="AE16" s="142">
        <f>IF(NOT(Q16="Pick Type"),VLOOKUP(Q16,'LCA Data'!$C$8:$S$107,9,FALSE)*Lists!R16,0)</f>
        <v>0</v>
      </c>
      <c r="AF16" s="143">
        <f>IF(NOT(Q16="Pick Type"),VLOOKUP(Q16,'LCA Data'!$C$8:$S$107,13,FALSE)*Lists!R16,0)</f>
        <v>0</v>
      </c>
      <c r="AG16" s="144">
        <f>IF(NOT(Q16="Pick Type"),VLOOKUP(Q16,'LCA Data'!$C$8:$S$107,17,FALSE)*Lists!R16,0)</f>
        <v>0</v>
      </c>
      <c r="AH16" s="145">
        <f t="shared" si="5"/>
        <v>0</v>
      </c>
      <c r="AI16" s="134" t="str">
        <f t="shared" si="6"/>
        <v>#N/A</v>
      </c>
      <c r="AJ16" s="134"/>
      <c r="AK16" s="146" t="s">
        <v>314</v>
      </c>
      <c r="AL16" s="137">
        <f t="shared" si="7"/>
        <v>0</v>
      </c>
      <c r="AM16" s="134">
        <f t="shared" si="8"/>
        <v>0</v>
      </c>
      <c r="AN16" s="134">
        <f t="shared" si="9"/>
        <v>0</v>
      </c>
      <c r="AO16" s="134">
        <f t="shared" si="10"/>
        <v>0</v>
      </c>
      <c r="AP16" s="134">
        <f t="shared" si="11"/>
        <v>0</v>
      </c>
      <c r="AQ16" s="134">
        <f t="shared" si="12"/>
        <v>0</v>
      </c>
      <c r="AR16" s="134">
        <f t="shared" si="13"/>
        <v>0</v>
      </c>
      <c r="AS16" s="134">
        <f t="shared" si="14"/>
        <v>0</v>
      </c>
      <c r="AT16" s="134">
        <f t="shared" si="15"/>
        <v>0</v>
      </c>
      <c r="AU16" s="134">
        <f t="shared" si="16"/>
        <v>0</v>
      </c>
      <c r="AV16" s="134">
        <f t="shared" si="17"/>
        <v>0</v>
      </c>
      <c r="AW16" s="134">
        <f t="shared" si="18"/>
        <v>0</v>
      </c>
      <c r="AX16" s="134">
        <f t="shared" si="19"/>
        <v>0</v>
      </c>
      <c r="AY16" s="134">
        <f t="shared" si="20"/>
        <v>0</v>
      </c>
      <c r="AZ16" s="134">
        <f t="shared" si="21"/>
        <v>0</v>
      </c>
      <c r="BA16" s="134">
        <f t="shared" si="22"/>
        <v>0</v>
      </c>
      <c r="BB16" s="134">
        <f t="shared" si="23"/>
        <v>0</v>
      </c>
      <c r="BC16" s="134">
        <f t="shared" si="24"/>
        <v>0</v>
      </c>
      <c r="BD16" s="134">
        <f t="shared" si="25"/>
        <v>0</v>
      </c>
      <c r="BE16" s="134">
        <f t="shared" si="26"/>
        <v>0</v>
      </c>
      <c r="BF16" s="134">
        <f t="shared" si="27"/>
        <v>0</v>
      </c>
      <c r="BG16" s="134">
        <f t="shared" si="28"/>
        <v>0</v>
      </c>
      <c r="BH16" s="134">
        <f t="shared" si="29"/>
        <v>0</v>
      </c>
      <c r="BI16" s="134">
        <f t="shared" si="30"/>
        <v>0</v>
      </c>
      <c r="BJ16" s="134">
        <f t="shared" si="31"/>
        <v>0</v>
      </c>
      <c r="BK16" s="134">
        <f t="shared" si="32"/>
        <v>0</v>
      </c>
      <c r="BL16" s="134">
        <f t="shared" si="33"/>
        <v>0</v>
      </c>
      <c r="BM16" s="134">
        <f t="shared" si="34"/>
        <v>0</v>
      </c>
      <c r="BN16" s="134">
        <f t="shared" si="35"/>
        <v>0</v>
      </c>
      <c r="BO16" s="134">
        <f t="shared" si="36"/>
        <v>0</v>
      </c>
      <c r="BP16" s="134">
        <f t="shared" si="37"/>
        <v>0</v>
      </c>
      <c r="BQ16" s="134">
        <f t="shared" si="38"/>
        <v>0</v>
      </c>
      <c r="BR16" s="134">
        <f t="shared" si="39"/>
        <v>0</v>
      </c>
      <c r="BS16" s="134">
        <f t="shared" si="40"/>
        <v>0</v>
      </c>
      <c r="BT16" s="134">
        <f t="shared" si="41"/>
        <v>0</v>
      </c>
      <c r="BU16" s="134">
        <f t="shared" si="42"/>
        <v>0</v>
      </c>
      <c r="BV16" s="134">
        <f t="shared" si="43"/>
        <v>0</v>
      </c>
      <c r="BW16" s="134">
        <f t="shared" si="44"/>
        <v>0</v>
      </c>
      <c r="BX16" s="134">
        <f t="shared" si="45"/>
        <v>0</v>
      </c>
      <c r="BY16" s="134">
        <f t="shared" si="46"/>
        <v>0</v>
      </c>
      <c r="BZ16" s="134">
        <f t="shared" si="47"/>
        <v>0</v>
      </c>
      <c r="CA16" s="134">
        <f t="shared" si="48"/>
        <v>0</v>
      </c>
      <c r="CB16" s="134">
        <f t="shared" si="49"/>
        <v>0</v>
      </c>
      <c r="CC16" s="134">
        <f t="shared" si="50"/>
        <v>0</v>
      </c>
      <c r="CD16" s="134">
        <f t="shared" si="51"/>
        <v>0</v>
      </c>
      <c r="CE16" s="134">
        <f t="shared" si="52"/>
        <v>0</v>
      </c>
      <c r="CF16" s="134">
        <f t="shared" si="53"/>
        <v>0</v>
      </c>
      <c r="CG16" s="134">
        <f t="shared" si="54"/>
        <v>0</v>
      </c>
      <c r="CH16" s="134">
        <f t="shared" si="55"/>
        <v>0</v>
      </c>
      <c r="CI16" s="134">
        <f t="shared" si="56"/>
        <v>0</v>
      </c>
      <c r="CJ16" s="134">
        <f t="shared" si="57"/>
        <v>0</v>
      </c>
      <c r="CK16" s="134"/>
    </row>
    <row r="17" ht="9.75" customHeight="1">
      <c r="A17" s="134"/>
      <c r="B17" s="134"/>
      <c r="C17" s="134"/>
      <c r="D17" s="134"/>
      <c r="E17" s="134"/>
      <c r="F17" s="134"/>
      <c r="G17" s="134"/>
      <c r="H17" s="134"/>
      <c r="I17" s="134"/>
      <c r="J17" s="134" t="s">
        <v>210</v>
      </c>
      <c r="K17" s="134"/>
      <c r="L17" s="134"/>
      <c r="M17" s="134"/>
      <c r="N17" s="134"/>
      <c r="O17" s="134"/>
      <c r="P17" s="134" t="str">
        <f>'Construction and Materials'!B31</f>
        <v>Pick Assembly</v>
      </c>
      <c r="Q17" s="134" t="str">
        <f>'Construction and Materials'!C31</f>
        <v>Pick Type</v>
      </c>
      <c r="R17" s="137" t="str">
        <f>'Construction and Materials'!D31</f>
        <v/>
      </c>
      <c r="S17" s="138">
        <f>IF(NOT(Q17="Pick Type"),VLOOKUP(Q17,'LCA Data'!$C$8:$S$107,6,FALSE)*Lists!R17,0)</f>
        <v>0</v>
      </c>
      <c r="T17" s="139">
        <f>IF(NOT(Q17="Pick Type"),VLOOKUP(Q17,'LCA Data'!$C$8:$S$107,10,FALSE)*Lists!R17,0)</f>
        <v>0</v>
      </c>
      <c r="U17" s="140">
        <f>IF(NOT(Q17="Pick Type"),VLOOKUP(Q17,'LCA Data'!$C$8:$S$107,14,FALSE)*Lists!R17,0)</f>
        <v>0</v>
      </c>
      <c r="V17" s="141">
        <f t="shared" si="2"/>
        <v>0</v>
      </c>
      <c r="W17" s="138">
        <f>IF(NOT(Q17="Pick Type"),VLOOKUP(Q17,'LCA Data'!$C$8:$S$107,7,FALSE)*Lists!R17,0)</f>
        <v>0</v>
      </c>
      <c r="X17" s="139">
        <f>IF(NOT(Q17="Pick Type"),VLOOKUP(Q17,'LCA Data'!$C$8:$S$107,11,FALSE)*Lists!R17,0)</f>
        <v>0</v>
      </c>
      <c r="Y17" s="140">
        <f>IF(NOT(Q17="Pick Type"),VLOOKUP(Q17,'LCA Data'!$C$8:$S$107,15,FALSE)*Lists!R17,0)</f>
        <v>0</v>
      </c>
      <c r="Z17" s="141">
        <f t="shared" si="3"/>
        <v>0</v>
      </c>
      <c r="AA17" s="138">
        <f>IF(NOT(Q17="Pick Type"),VLOOKUP(Q17,'LCA Data'!$C$8:$S$107,8,FALSE)*Lists!R17,0)</f>
        <v>0</v>
      </c>
      <c r="AB17" s="139">
        <f>IF(NOT(Q17="Pick Type"),VLOOKUP(Q17,'LCA Data'!$C$8:$S$107,12,FALSE)*Lists!R17,0)</f>
        <v>0</v>
      </c>
      <c r="AC17" s="140">
        <f>IF(NOT(Q17="Pick Type"),VLOOKUP(Q17,'LCA Data'!$C$8:$S$107,16,FALSE)*Lists!R17,0)</f>
        <v>0</v>
      </c>
      <c r="AD17" s="141">
        <f t="shared" si="4"/>
        <v>0</v>
      </c>
      <c r="AE17" s="142">
        <f>IF(NOT(Q17="Pick Type"),VLOOKUP(Q17,'LCA Data'!$C$8:$S$107,9,FALSE)*Lists!R17,0)</f>
        <v>0</v>
      </c>
      <c r="AF17" s="143">
        <f>IF(NOT(Q17="Pick Type"),VLOOKUP(Q17,'LCA Data'!$C$8:$S$107,13,FALSE)*Lists!R17,0)</f>
        <v>0</v>
      </c>
      <c r="AG17" s="144">
        <f>IF(NOT(Q17="Pick Type"),VLOOKUP(Q17,'LCA Data'!$C$8:$S$107,17,FALSE)*Lists!R17,0)</f>
        <v>0</v>
      </c>
      <c r="AH17" s="145">
        <f t="shared" si="5"/>
        <v>0</v>
      </c>
      <c r="AI17" s="134" t="str">
        <f t="shared" si="6"/>
        <v>#N/A</v>
      </c>
      <c r="AJ17" s="134"/>
      <c r="AK17" s="146" t="s">
        <v>314</v>
      </c>
      <c r="AL17" s="137">
        <f t="shared" si="7"/>
        <v>0</v>
      </c>
      <c r="AM17" s="134">
        <f t="shared" si="8"/>
        <v>0</v>
      </c>
      <c r="AN17" s="134">
        <f t="shared" si="9"/>
        <v>0</v>
      </c>
      <c r="AO17" s="134">
        <f t="shared" si="10"/>
        <v>0</v>
      </c>
      <c r="AP17" s="134">
        <f t="shared" si="11"/>
        <v>0</v>
      </c>
      <c r="AQ17" s="134">
        <f t="shared" si="12"/>
        <v>0</v>
      </c>
      <c r="AR17" s="134">
        <f t="shared" si="13"/>
        <v>0</v>
      </c>
      <c r="AS17" s="134">
        <f t="shared" si="14"/>
        <v>0</v>
      </c>
      <c r="AT17" s="134">
        <f t="shared" si="15"/>
        <v>0</v>
      </c>
      <c r="AU17" s="134">
        <f t="shared" si="16"/>
        <v>0</v>
      </c>
      <c r="AV17" s="134">
        <f t="shared" si="17"/>
        <v>0</v>
      </c>
      <c r="AW17" s="134">
        <f t="shared" si="18"/>
        <v>0</v>
      </c>
      <c r="AX17" s="134">
        <f t="shared" si="19"/>
        <v>0</v>
      </c>
      <c r="AY17" s="134">
        <f t="shared" si="20"/>
        <v>0</v>
      </c>
      <c r="AZ17" s="134">
        <f t="shared" si="21"/>
        <v>0</v>
      </c>
      <c r="BA17" s="134">
        <f t="shared" si="22"/>
        <v>0</v>
      </c>
      <c r="BB17" s="134">
        <f t="shared" si="23"/>
        <v>0</v>
      </c>
      <c r="BC17" s="134">
        <f t="shared" si="24"/>
        <v>0</v>
      </c>
      <c r="BD17" s="134">
        <f t="shared" si="25"/>
        <v>0</v>
      </c>
      <c r="BE17" s="134">
        <f t="shared" si="26"/>
        <v>0</v>
      </c>
      <c r="BF17" s="134">
        <f t="shared" si="27"/>
        <v>0</v>
      </c>
      <c r="BG17" s="134">
        <f t="shared" si="28"/>
        <v>0</v>
      </c>
      <c r="BH17" s="134">
        <f t="shared" si="29"/>
        <v>0</v>
      </c>
      <c r="BI17" s="134">
        <f t="shared" si="30"/>
        <v>0</v>
      </c>
      <c r="BJ17" s="134">
        <f t="shared" si="31"/>
        <v>0</v>
      </c>
      <c r="BK17" s="134">
        <f t="shared" si="32"/>
        <v>0</v>
      </c>
      <c r="BL17" s="134">
        <f t="shared" si="33"/>
        <v>0</v>
      </c>
      <c r="BM17" s="134">
        <f t="shared" si="34"/>
        <v>0</v>
      </c>
      <c r="BN17" s="134">
        <f t="shared" si="35"/>
        <v>0</v>
      </c>
      <c r="BO17" s="134">
        <f t="shared" si="36"/>
        <v>0</v>
      </c>
      <c r="BP17" s="134">
        <f t="shared" si="37"/>
        <v>0</v>
      </c>
      <c r="BQ17" s="134">
        <f t="shared" si="38"/>
        <v>0</v>
      </c>
      <c r="BR17" s="134">
        <f t="shared" si="39"/>
        <v>0</v>
      </c>
      <c r="BS17" s="134">
        <f t="shared" si="40"/>
        <v>0</v>
      </c>
      <c r="BT17" s="134">
        <f t="shared" si="41"/>
        <v>0</v>
      </c>
      <c r="BU17" s="134">
        <f t="shared" si="42"/>
        <v>0</v>
      </c>
      <c r="BV17" s="134">
        <f t="shared" si="43"/>
        <v>0</v>
      </c>
      <c r="BW17" s="134">
        <f t="shared" si="44"/>
        <v>0</v>
      </c>
      <c r="BX17" s="134">
        <f t="shared" si="45"/>
        <v>0</v>
      </c>
      <c r="BY17" s="134">
        <f t="shared" si="46"/>
        <v>0</v>
      </c>
      <c r="BZ17" s="134">
        <f t="shared" si="47"/>
        <v>0</v>
      </c>
      <c r="CA17" s="134">
        <f t="shared" si="48"/>
        <v>0</v>
      </c>
      <c r="CB17" s="134">
        <f t="shared" si="49"/>
        <v>0</v>
      </c>
      <c r="CC17" s="134">
        <f t="shared" si="50"/>
        <v>0</v>
      </c>
      <c r="CD17" s="134">
        <f t="shared" si="51"/>
        <v>0</v>
      </c>
      <c r="CE17" s="134">
        <f t="shared" si="52"/>
        <v>0</v>
      </c>
      <c r="CF17" s="134">
        <f t="shared" si="53"/>
        <v>0</v>
      </c>
      <c r="CG17" s="134">
        <f t="shared" si="54"/>
        <v>0</v>
      </c>
      <c r="CH17" s="134">
        <f t="shared" si="55"/>
        <v>0</v>
      </c>
      <c r="CI17" s="134">
        <f t="shared" si="56"/>
        <v>0</v>
      </c>
      <c r="CJ17" s="134">
        <f t="shared" si="57"/>
        <v>0</v>
      </c>
      <c r="CK17" s="134"/>
    </row>
    <row r="18" ht="9.75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 t="s">
        <v>219</v>
      </c>
      <c r="K18" s="134"/>
      <c r="L18" s="134"/>
      <c r="M18" s="134"/>
      <c r="N18" s="134"/>
      <c r="O18" s="134"/>
      <c r="P18" s="134" t="str">
        <f>'Construction and Materials'!B32</f>
        <v>Pick Assembly</v>
      </c>
      <c r="Q18" s="134" t="str">
        <f>'Construction and Materials'!C32</f>
        <v>Pick Type</v>
      </c>
      <c r="R18" s="137" t="str">
        <f>'Construction and Materials'!D32</f>
        <v/>
      </c>
      <c r="S18" s="138">
        <f>IF(NOT(Q18="Pick Type"),VLOOKUP(Q18,'LCA Data'!$C$8:$S$107,6,FALSE)*Lists!R18,0)</f>
        <v>0</v>
      </c>
      <c r="T18" s="139">
        <f>IF(NOT(Q18="Pick Type"),VLOOKUP(Q18,'LCA Data'!$C$8:$S$107,10,FALSE)*Lists!R18,0)</f>
        <v>0</v>
      </c>
      <c r="U18" s="140">
        <f>IF(NOT(Q18="Pick Type"),VLOOKUP(Q18,'LCA Data'!$C$8:$S$107,14,FALSE)*Lists!R18,0)</f>
        <v>0</v>
      </c>
      <c r="V18" s="141">
        <f t="shared" si="2"/>
        <v>0</v>
      </c>
      <c r="W18" s="138">
        <f>IF(NOT(Q18="Pick Type"),VLOOKUP(Q18,'LCA Data'!$C$8:$S$107,7,FALSE)*Lists!R18,0)</f>
        <v>0</v>
      </c>
      <c r="X18" s="139">
        <f>IF(NOT(Q18="Pick Type"),VLOOKUP(Q18,'LCA Data'!$C$8:$S$107,11,FALSE)*Lists!R18,0)</f>
        <v>0</v>
      </c>
      <c r="Y18" s="140">
        <f>IF(NOT(Q18="Pick Type"),VLOOKUP(Q18,'LCA Data'!$C$8:$S$107,15,FALSE)*Lists!R18,0)</f>
        <v>0</v>
      </c>
      <c r="Z18" s="141">
        <f t="shared" si="3"/>
        <v>0</v>
      </c>
      <c r="AA18" s="138">
        <f>IF(NOT(Q18="Pick Type"),VLOOKUP(Q18,'LCA Data'!$C$8:$S$107,8,FALSE)*Lists!R18,0)</f>
        <v>0</v>
      </c>
      <c r="AB18" s="139">
        <f>IF(NOT(Q18="Pick Type"),VLOOKUP(Q18,'LCA Data'!$C$8:$S$107,12,FALSE)*Lists!R18,0)</f>
        <v>0</v>
      </c>
      <c r="AC18" s="140">
        <f>IF(NOT(Q18="Pick Type"),VLOOKUP(Q18,'LCA Data'!$C$8:$S$107,16,FALSE)*Lists!R18,0)</f>
        <v>0</v>
      </c>
      <c r="AD18" s="141">
        <f t="shared" si="4"/>
        <v>0</v>
      </c>
      <c r="AE18" s="142">
        <f>IF(NOT(Q18="Pick Type"),VLOOKUP(Q18,'LCA Data'!$C$8:$S$107,9,FALSE)*Lists!R18,0)</f>
        <v>0</v>
      </c>
      <c r="AF18" s="143">
        <f>IF(NOT(Q18="Pick Type"),VLOOKUP(Q18,'LCA Data'!$C$8:$S$107,13,FALSE)*Lists!R18,0)</f>
        <v>0</v>
      </c>
      <c r="AG18" s="144">
        <f>IF(NOT(Q18="Pick Type"),VLOOKUP(Q18,'LCA Data'!$C$8:$S$107,17,FALSE)*Lists!R18,0)</f>
        <v>0</v>
      </c>
      <c r="AH18" s="145">
        <f t="shared" si="5"/>
        <v>0</v>
      </c>
      <c r="AI18" s="134" t="str">
        <f t="shared" si="6"/>
        <v>#N/A</v>
      </c>
      <c r="AJ18" s="134"/>
      <c r="AK18" s="146" t="s">
        <v>314</v>
      </c>
      <c r="AL18" s="137">
        <f t="shared" si="7"/>
        <v>0</v>
      </c>
      <c r="AM18" s="134">
        <f t="shared" si="8"/>
        <v>0</v>
      </c>
      <c r="AN18" s="134">
        <f t="shared" si="9"/>
        <v>0</v>
      </c>
      <c r="AO18" s="134">
        <f t="shared" si="10"/>
        <v>0</v>
      </c>
      <c r="AP18" s="134">
        <f t="shared" si="11"/>
        <v>0</v>
      </c>
      <c r="AQ18" s="134">
        <f t="shared" si="12"/>
        <v>0</v>
      </c>
      <c r="AR18" s="134">
        <f t="shared" si="13"/>
        <v>0</v>
      </c>
      <c r="AS18" s="134">
        <f t="shared" si="14"/>
        <v>0</v>
      </c>
      <c r="AT18" s="134">
        <f t="shared" si="15"/>
        <v>0</v>
      </c>
      <c r="AU18" s="134">
        <f t="shared" si="16"/>
        <v>0</v>
      </c>
      <c r="AV18" s="134">
        <f t="shared" si="17"/>
        <v>0</v>
      </c>
      <c r="AW18" s="134">
        <f t="shared" si="18"/>
        <v>0</v>
      </c>
      <c r="AX18" s="134">
        <f t="shared" si="19"/>
        <v>0</v>
      </c>
      <c r="AY18" s="134">
        <f t="shared" si="20"/>
        <v>0</v>
      </c>
      <c r="AZ18" s="134">
        <f t="shared" si="21"/>
        <v>0</v>
      </c>
      <c r="BA18" s="134">
        <f t="shared" si="22"/>
        <v>0</v>
      </c>
      <c r="BB18" s="134">
        <f t="shared" si="23"/>
        <v>0</v>
      </c>
      <c r="BC18" s="134">
        <f t="shared" si="24"/>
        <v>0</v>
      </c>
      <c r="BD18" s="134">
        <f t="shared" si="25"/>
        <v>0</v>
      </c>
      <c r="BE18" s="134">
        <f t="shared" si="26"/>
        <v>0</v>
      </c>
      <c r="BF18" s="134">
        <f t="shared" si="27"/>
        <v>0</v>
      </c>
      <c r="BG18" s="134">
        <f t="shared" si="28"/>
        <v>0</v>
      </c>
      <c r="BH18" s="134">
        <f t="shared" si="29"/>
        <v>0</v>
      </c>
      <c r="BI18" s="134">
        <f t="shared" si="30"/>
        <v>0</v>
      </c>
      <c r="BJ18" s="134">
        <f t="shared" si="31"/>
        <v>0</v>
      </c>
      <c r="BK18" s="134">
        <f t="shared" si="32"/>
        <v>0</v>
      </c>
      <c r="BL18" s="134">
        <f t="shared" si="33"/>
        <v>0</v>
      </c>
      <c r="BM18" s="134">
        <f t="shared" si="34"/>
        <v>0</v>
      </c>
      <c r="BN18" s="134">
        <f t="shared" si="35"/>
        <v>0</v>
      </c>
      <c r="BO18" s="134">
        <f t="shared" si="36"/>
        <v>0</v>
      </c>
      <c r="BP18" s="134">
        <f t="shared" si="37"/>
        <v>0</v>
      </c>
      <c r="BQ18" s="134">
        <f t="shared" si="38"/>
        <v>0</v>
      </c>
      <c r="BR18" s="134">
        <f t="shared" si="39"/>
        <v>0</v>
      </c>
      <c r="BS18" s="134">
        <f t="shared" si="40"/>
        <v>0</v>
      </c>
      <c r="BT18" s="134">
        <f t="shared" si="41"/>
        <v>0</v>
      </c>
      <c r="BU18" s="134">
        <f t="shared" si="42"/>
        <v>0</v>
      </c>
      <c r="BV18" s="134">
        <f t="shared" si="43"/>
        <v>0</v>
      </c>
      <c r="BW18" s="134">
        <f t="shared" si="44"/>
        <v>0</v>
      </c>
      <c r="BX18" s="134">
        <f t="shared" si="45"/>
        <v>0</v>
      </c>
      <c r="BY18" s="134">
        <f t="shared" si="46"/>
        <v>0</v>
      </c>
      <c r="BZ18" s="134">
        <f t="shared" si="47"/>
        <v>0</v>
      </c>
      <c r="CA18" s="134">
        <f t="shared" si="48"/>
        <v>0</v>
      </c>
      <c r="CB18" s="134">
        <f t="shared" si="49"/>
        <v>0</v>
      </c>
      <c r="CC18" s="134">
        <f t="shared" si="50"/>
        <v>0</v>
      </c>
      <c r="CD18" s="134">
        <f t="shared" si="51"/>
        <v>0</v>
      </c>
      <c r="CE18" s="134">
        <f t="shared" si="52"/>
        <v>0</v>
      </c>
      <c r="CF18" s="134">
        <f t="shared" si="53"/>
        <v>0</v>
      </c>
      <c r="CG18" s="134">
        <f t="shared" si="54"/>
        <v>0</v>
      </c>
      <c r="CH18" s="134">
        <f t="shared" si="55"/>
        <v>0</v>
      </c>
      <c r="CI18" s="134">
        <f t="shared" si="56"/>
        <v>0</v>
      </c>
      <c r="CJ18" s="134">
        <f t="shared" si="57"/>
        <v>0</v>
      </c>
      <c r="CK18" s="134"/>
    </row>
    <row r="19" ht="9.75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 t="s">
        <v>220</v>
      </c>
      <c r="K19" s="134" t="s">
        <v>242</v>
      </c>
      <c r="L19" s="134"/>
      <c r="M19" s="134"/>
      <c r="N19" s="134"/>
      <c r="O19" s="134"/>
      <c r="P19" s="134" t="str">
        <f>'Construction and Materials'!B33</f>
        <v>Pick Assembly</v>
      </c>
      <c r="Q19" s="134" t="str">
        <f>'Construction and Materials'!C33</f>
        <v>Pick Type</v>
      </c>
      <c r="R19" s="137" t="str">
        <f>'Construction and Materials'!D33</f>
        <v/>
      </c>
      <c r="S19" s="138">
        <f>IF(NOT(Q19="Pick Type"),VLOOKUP(Q19,'LCA Data'!$C$8:$S$107,6,FALSE)*Lists!R19,0)</f>
        <v>0</v>
      </c>
      <c r="T19" s="139">
        <f>IF(NOT(Q19="Pick Type"),VLOOKUP(Q19,'LCA Data'!$C$8:$S$107,10,FALSE)*Lists!R19,0)</f>
        <v>0</v>
      </c>
      <c r="U19" s="140">
        <f>IF(NOT(Q19="Pick Type"),VLOOKUP(Q19,'LCA Data'!$C$8:$S$107,14,FALSE)*Lists!R19,0)</f>
        <v>0</v>
      </c>
      <c r="V19" s="141">
        <f t="shared" si="2"/>
        <v>0</v>
      </c>
      <c r="W19" s="138">
        <f>IF(NOT(Q19="Pick Type"),VLOOKUP(Q19,'LCA Data'!$C$8:$S$107,7,FALSE)*Lists!R19,0)</f>
        <v>0</v>
      </c>
      <c r="X19" s="139">
        <f>IF(NOT(Q19="Pick Type"),VLOOKUP(Q19,'LCA Data'!$C$8:$S$107,11,FALSE)*Lists!R19,0)</f>
        <v>0</v>
      </c>
      <c r="Y19" s="140">
        <f>IF(NOT(Q19="Pick Type"),VLOOKUP(Q19,'LCA Data'!$C$8:$S$107,15,FALSE)*Lists!R19,0)</f>
        <v>0</v>
      </c>
      <c r="Z19" s="141">
        <f t="shared" si="3"/>
        <v>0</v>
      </c>
      <c r="AA19" s="138">
        <f>IF(NOT(Q19="Pick Type"),VLOOKUP(Q19,'LCA Data'!$C$8:$S$107,8,FALSE)*Lists!R19,0)</f>
        <v>0</v>
      </c>
      <c r="AB19" s="139">
        <f>IF(NOT(Q19="Pick Type"),VLOOKUP(Q19,'LCA Data'!$C$8:$S$107,12,FALSE)*Lists!R19,0)</f>
        <v>0</v>
      </c>
      <c r="AC19" s="140">
        <f>IF(NOT(Q19="Pick Type"),VLOOKUP(Q19,'LCA Data'!$C$8:$S$107,16,FALSE)*Lists!R19,0)</f>
        <v>0</v>
      </c>
      <c r="AD19" s="141">
        <f t="shared" si="4"/>
        <v>0</v>
      </c>
      <c r="AE19" s="142">
        <f>IF(NOT(Q19="Pick Type"),VLOOKUP(Q19,'LCA Data'!$C$8:$S$107,9,FALSE)*Lists!R19,0)</f>
        <v>0</v>
      </c>
      <c r="AF19" s="143">
        <f>IF(NOT(Q19="Pick Type"),VLOOKUP(Q19,'LCA Data'!$C$8:$S$107,13,FALSE)*Lists!R19,0)</f>
        <v>0</v>
      </c>
      <c r="AG19" s="144">
        <f>IF(NOT(Q19="Pick Type"),VLOOKUP(Q19,'LCA Data'!$C$8:$S$107,17,FALSE)*Lists!R19,0)</f>
        <v>0</v>
      </c>
      <c r="AH19" s="145">
        <f t="shared" si="5"/>
        <v>0</v>
      </c>
      <c r="AI19" s="134" t="str">
        <f t="shared" si="6"/>
        <v>#N/A</v>
      </c>
      <c r="AJ19" s="134"/>
      <c r="AK19" s="146" t="s">
        <v>314</v>
      </c>
      <c r="AL19" s="137">
        <f t="shared" si="7"/>
        <v>0</v>
      </c>
      <c r="AM19" s="134">
        <f t="shared" si="8"/>
        <v>0</v>
      </c>
      <c r="AN19" s="134">
        <f t="shared" si="9"/>
        <v>0</v>
      </c>
      <c r="AO19" s="134">
        <f t="shared" si="10"/>
        <v>0</v>
      </c>
      <c r="AP19" s="134">
        <f t="shared" si="11"/>
        <v>0</v>
      </c>
      <c r="AQ19" s="134">
        <f t="shared" si="12"/>
        <v>0</v>
      </c>
      <c r="AR19" s="134">
        <f t="shared" si="13"/>
        <v>0</v>
      </c>
      <c r="AS19" s="134">
        <f t="shared" si="14"/>
        <v>0</v>
      </c>
      <c r="AT19" s="134">
        <f t="shared" si="15"/>
        <v>0</v>
      </c>
      <c r="AU19" s="134">
        <f t="shared" si="16"/>
        <v>0</v>
      </c>
      <c r="AV19" s="134">
        <f t="shared" si="17"/>
        <v>0</v>
      </c>
      <c r="AW19" s="134">
        <f t="shared" si="18"/>
        <v>0</v>
      </c>
      <c r="AX19" s="134">
        <f t="shared" si="19"/>
        <v>0</v>
      </c>
      <c r="AY19" s="134">
        <f t="shared" si="20"/>
        <v>0</v>
      </c>
      <c r="AZ19" s="134">
        <f t="shared" si="21"/>
        <v>0</v>
      </c>
      <c r="BA19" s="134">
        <f t="shared" si="22"/>
        <v>0</v>
      </c>
      <c r="BB19" s="134">
        <f t="shared" si="23"/>
        <v>0</v>
      </c>
      <c r="BC19" s="134">
        <f t="shared" si="24"/>
        <v>0</v>
      </c>
      <c r="BD19" s="134">
        <f t="shared" si="25"/>
        <v>0</v>
      </c>
      <c r="BE19" s="134">
        <f t="shared" si="26"/>
        <v>0</v>
      </c>
      <c r="BF19" s="134">
        <f t="shared" si="27"/>
        <v>0</v>
      </c>
      <c r="BG19" s="134">
        <f t="shared" si="28"/>
        <v>0</v>
      </c>
      <c r="BH19" s="134">
        <f t="shared" si="29"/>
        <v>0</v>
      </c>
      <c r="BI19" s="134">
        <f t="shared" si="30"/>
        <v>0</v>
      </c>
      <c r="BJ19" s="134">
        <f t="shared" si="31"/>
        <v>0</v>
      </c>
      <c r="BK19" s="134">
        <f t="shared" si="32"/>
        <v>0</v>
      </c>
      <c r="BL19" s="134">
        <f t="shared" si="33"/>
        <v>0</v>
      </c>
      <c r="BM19" s="134">
        <f t="shared" si="34"/>
        <v>0</v>
      </c>
      <c r="BN19" s="134">
        <f t="shared" si="35"/>
        <v>0</v>
      </c>
      <c r="BO19" s="134">
        <f t="shared" si="36"/>
        <v>0</v>
      </c>
      <c r="BP19" s="134">
        <f t="shared" si="37"/>
        <v>0</v>
      </c>
      <c r="BQ19" s="134">
        <f t="shared" si="38"/>
        <v>0</v>
      </c>
      <c r="BR19" s="134">
        <f t="shared" si="39"/>
        <v>0</v>
      </c>
      <c r="BS19" s="134">
        <f t="shared" si="40"/>
        <v>0</v>
      </c>
      <c r="BT19" s="134">
        <f t="shared" si="41"/>
        <v>0</v>
      </c>
      <c r="BU19" s="134">
        <f t="shared" si="42"/>
        <v>0</v>
      </c>
      <c r="BV19" s="134">
        <f t="shared" si="43"/>
        <v>0</v>
      </c>
      <c r="BW19" s="134">
        <f t="shared" si="44"/>
        <v>0</v>
      </c>
      <c r="BX19" s="134">
        <f t="shared" si="45"/>
        <v>0</v>
      </c>
      <c r="BY19" s="134">
        <f t="shared" si="46"/>
        <v>0</v>
      </c>
      <c r="BZ19" s="134">
        <f t="shared" si="47"/>
        <v>0</v>
      </c>
      <c r="CA19" s="134">
        <f t="shared" si="48"/>
        <v>0</v>
      </c>
      <c r="CB19" s="134">
        <f t="shared" si="49"/>
        <v>0</v>
      </c>
      <c r="CC19" s="134">
        <f t="shared" si="50"/>
        <v>0</v>
      </c>
      <c r="CD19" s="134">
        <f t="shared" si="51"/>
        <v>0</v>
      </c>
      <c r="CE19" s="134">
        <f t="shared" si="52"/>
        <v>0</v>
      </c>
      <c r="CF19" s="134">
        <f t="shared" si="53"/>
        <v>0</v>
      </c>
      <c r="CG19" s="134">
        <f t="shared" si="54"/>
        <v>0</v>
      </c>
      <c r="CH19" s="134">
        <f t="shared" si="55"/>
        <v>0</v>
      </c>
      <c r="CI19" s="134">
        <f t="shared" si="56"/>
        <v>0</v>
      </c>
      <c r="CJ19" s="134">
        <f t="shared" si="57"/>
        <v>0</v>
      </c>
      <c r="CK19" s="134"/>
    </row>
    <row r="20" ht="9.75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 t="str">
        <f>'Construction and Materials'!B34</f>
        <v>Pick Assembly</v>
      </c>
      <c r="Q20" s="134" t="str">
        <f>'Construction and Materials'!C34</f>
        <v>Pick Type</v>
      </c>
      <c r="R20" s="137" t="str">
        <f>'Construction and Materials'!D34</f>
        <v/>
      </c>
      <c r="S20" s="138">
        <f>IF(NOT(Q20="Pick Type"),VLOOKUP(Q20,'LCA Data'!$C$8:$S$107,6,FALSE)*Lists!R20,0)</f>
        <v>0</v>
      </c>
      <c r="T20" s="139">
        <f>IF(NOT(Q20="Pick Type"),VLOOKUP(Q20,'LCA Data'!$C$8:$S$107,10,FALSE)*Lists!R20,0)</f>
        <v>0</v>
      </c>
      <c r="U20" s="140">
        <f>IF(NOT(Q20="Pick Type"),VLOOKUP(Q20,'LCA Data'!$C$8:$S$107,14,FALSE)*Lists!R20,0)</f>
        <v>0</v>
      </c>
      <c r="V20" s="141">
        <f t="shared" si="2"/>
        <v>0</v>
      </c>
      <c r="W20" s="138">
        <f>IF(NOT(Q20="Pick Type"),VLOOKUP(Q20,'LCA Data'!$C$8:$S$107,7,FALSE)*Lists!R20,0)</f>
        <v>0</v>
      </c>
      <c r="X20" s="139">
        <f>IF(NOT(Q20="Pick Type"),VLOOKUP(Q20,'LCA Data'!$C$8:$S$107,11,FALSE)*Lists!R20,0)</f>
        <v>0</v>
      </c>
      <c r="Y20" s="140">
        <f>IF(NOT(Q20="Pick Type"),VLOOKUP(Q20,'LCA Data'!$C$8:$S$107,15,FALSE)*Lists!R20,0)</f>
        <v>0</v>
      </c>
      <c r="Z20" s="141">
        <f t="shared" si="3"/>
        <v>0</v>
      </c>
      <c r="AA20" s="138">
        <f>IF(NOT(Q20="Pick Type"),VLOOKUP(Q20,'LCA Data'!$C$8:$S$107,8,FALSE)*Lists!R20,0)</f>
        <v>0</v>
      </c>
      <c r="AB20" s="139">
        <f>IF(NOT(Q20="Pick Type"),VLOOKUP(Q20,'LCA Data'!$C$8:$S$107,12,FALSE)*Lists!R20,0)</f>
        <v>0</v>
      </c>
      <c r="AC20" s="140">
        <f>IF(NOT(Q20="Pick Type"),VLOOKUP(Q20,'LCA Data'!$C$8:$S$107,16,FALSE)*Lists!R20,0)</f>
        <v>0</v>
      </c>
      <c r="AD20" s="141">
        <f t="shared" si="4"/>
        <v>0</v>
      </c>
      <c r="AE20" s="142">
        <f>IF(NOT(Q20="Pick Type"),VLOOKUP(Q20,'LCA Data'!$C$8:$S$107,9,FALSE)*Lists!R20,0)</f>
        <v>0</v>
      </c>
      <c r="AF20" s="143">
        <f>IF(NOT(Q20="Pick Type"),VLOOKUP(Q20,'LCA Data'!$C$8:$S$107,13,FALSE)*Lists!R20,0)</f>
        <v>0</v>
      </c>
      <c r="AG20" s="144">
        <f>IF(NOT(Q20="Pick Type"),VLOOKUP(Q20,'LCA Data'!$C$8:$S$107,17,FALSE)*Lists!R20,0)</f>
        <v>0</v>
      </c>
      <c r="AH20" s="145">
        <f t="shared" si="5"/>
        <v>0</v>
      </c>
      <c r="AI20" s="134" t="str">
        <f t="shared" si="6"/>
        <v>#N/A</v>
      </c>
      <c r="AJ20" s="134"/>
      <c r="AK20" s="146" t="s">
        <v>314</v>
      </c>
      <c r="AL20" s="137">
        <f t="shared" si="7"/>
        <v>0</v>
      </c>
      <c r="AM20" s="134">
        <f t="shared" si="8"/>
        <v>0</v>
      </c>
      <c r="AN20" s="134">
        <f t="shared" si="9"/>
        <v>0</v>
      </c>
      <c r="AO20" s="134">
        <f t="shared" si="10"/>
        <v>0</v>
      </c>
      <c r="AP20" s="134">
        <f t="shared" si="11"/>
        <v>0</v>
      </c>
      <c r="AQ20" s="134">
        <f t="shared" si="12"/>
        <v>0</v>
      </c>
      <c r="AR20" s="134">
        <f t="shared" si="13"/>
        <v>0</v>
      </c>
      <c r="AS20" s="134">
        <f t="shared" si="14"/>
        <v>0</v>
      </c>
      <c r="AT20" s="134">
        <f t="shared" si="15"/>
        <v>0</v>
      </c>
      <c r="AU20" s="134">
        <f t="shared" si="16"/>
        <v>0</v>
      </c>
      <c r="AV20" s="134">
        <f t="shared" si="17"/>
        <v>0</v>
      </c>
      <c r="AW20" s="134">
        <f t="shared" si="18"/>
        <v>0</v>
      </c>
      <c r="AX20" s="134">
        <f t="shared" si="19"/>
        <v>0</v>
      </c>
      <c r="AY20" s="134">
        <f t="shared" si="20"/>
        <v>0</v>
      </c>
      <c r="AZ20" s="134">
        <f t="shared" si="21"/>
        <v>0</v>
      </c>
      <c r="BA20" s="134">
        <f t="shared" si="22"/>
        <v>0</v>
      </c>
      <c r="BB20" s="134">
        <f t="shared" si="23"/>
        <v>0</v>
      </c>
      <c r="BC20" s="134">
        <f t="shared" si="24"/>
        <v>0</v>
      </c>
      <c r="BD20" s="134">
        <f t="shared" si="25"/>
        <v>0</v>
      </c>
      <c r="BE20" s="134">
        <f t="shared" si="26"/>
        <v>0</v>
      </c>
      <c r="BF20" s="134">
        <f t="shared" si="27"/>
        <v>0</v>
      </c>
      <c r="BG20" s="134">
        <f t="shared" si="28"/>
        <v>0</v>
      </c>
      <c r="BH20" s="134">
        <f t="shared" si="29"/>
        <v>0</v>
      </c>
      <c r="BI20" s="134">
        <f t="shared" si="30"/>
        <v>0</v>
      </c>
      <c r="BJ20" s="134">
        <f t="shared" si="31"/>
        <v>0</v>
      </c>
      <c r="BK20" s="134">
        <f t="shared" si="32"/>
        <v>0</v>
      </c>
      <c r="BL20" s="134">
        <f t="shared" si="33"/>
        <v>0</v>
      </c>
      <c r="BM20" s="134">
        <f t="shared" si="34"/>
        <v>0</v>
      </c>
      <c r="BN20" s="134">
        <f t="shared" si="35"/>
        <v>0</v>
      </c>
      <c r="BO20" s="134">
        <f t="shared" si="36"/>
        <v>0</v>
      </c>
      <c r="BP20" s="134">
        <f t="shared" si="37"/>
        <v>0</v>
      </c>
      <c r="BQ20" s="134">
        <f t="shared" si="38"/>
        <v>0</v>
      </c>
      <c r="BR20" s="134">
        <f t="shared" si="39"/>
        <v>0</v>
      </c>
      <c r="BS20" s="134">
        <f t="shared" si="40"/>
        <v>0</v>
      </c>
      <c r="BT20" s="134">
        <f t="shared" si="41"/>
        <v>0</v>
      </c>
      <c r="BU20" s="134">
        <f t="shared" si="42"/>
        <v>0</v>
      </c>
      <c r="BV20" s="134">
        <f t="shared" si="43"/>
        <v>0</v>
      </c>
      <c r="BW20" s="134">
        <f t="shared" si="44"/>
        <v>0</v>
      </c>
      <c r="BX20" s="134">
        <f t="shared" si="45"/>
        <v>0</v>
      </c>
      <c r="BY20" s="134">
        <f t="shared" si="46"/>
        <v>0</v>
      </c>
      <c r="BZ20" s="134">
        <f t="shared" si="47"/>
        <v>0</v>
      </c>
      <c r="CA20" s="134">
        <f t="shared" si="48"/>
        <v>0</v>
      </c>
      <c r="CB20" s="134">
        <f t="shared" si="49"/>
        <v>0</v>
      </c>
      <c r="CC20" s="134">
        <f t="shared" si="50"/>
        <v>0</v>
      </c>
      <c r="CD20" s="134">
        <f t="shared" si="51"/>
        <v>0</v>
      </c>
      <c r="CE20" s="134">
        <f t="shared" si="52"/>
        <v>0</v>
      </c>
      <c r="CF20" s="134">
        <f t="shared" si="53"/>
        <v>0</v>
      </c>
      <c r="CG20" s="134">
        <f t="shared" si="54"/>
        <v>0</v>
      </c>
      <c r="CH20" s="134">
        <f t="shared" si="55"/>
        <v>0</v>
      </c>
      <c r="CI20" s="134">
        <f t="shared" si="56"/>
        <v>0</v>
      </c>
      <c r="CJ20" s="134">
        <f t="shared" si="57"/>
        <v>0</v>
      </c>
      <c r="CK20" s="134"/>
    </row>
    <row r="21" ht="9.7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 t="str">
        <f>'Construction and Materials'!B35</f>
        <v>Pick Assembly</v>
      </c>
      <c r="Q21" s="134" t="str">
        <f>'Construction and Materials'!C35</f>
        <v>Pick Type</v>
      </c>
      <c r="R21" s="137" t="str">
        <f>'Construction and Materials'!D35</f>
        <v/>
      </c>
      <c r="S21" s="138">
        <f>IF(NOT(Q21="Pick Type"),VLOOKUP(Q21,'LCA Data'!$C$8:$S$107,6,FALSE)*Lists!R21,0)</f>
        <v>0</v>
      </c>
      <c r="T21" s="139">
        <f>IF(NOT(Q21="Pick Type"),VLOOKUP(Q21,'LCA Data'!$C$8:$S$107,10,FALSE)*Lists!R21,0)</f>
        <v>0</v>
      </c>
      <c r="U21" s="140">
        <f>IF(NOT(Q21="Pick Type"),VLOOKUP(Q21,'LCA Data'!$C$8:$S$107,14,FALSE)*Lists!R21,0)</f>
        <v>0</v>
      </c>
      <c r="V21" s="141">
        <f t="shared" si="2"/>
        <v>0</v>
      </c>
      <c r="W21" s="138">
        <f>IF(NOT(Q21="Pick Type"),VLOOKUP(Q21,'LCA Data'!$C$8:$S$107,7,FALSE)*Lists!R21,0)</f>
        <v>0</v>
      </c>
      <c r="X21" s="139">
        <f>IF(NOT(Q21="Pick Type"),VLOOKUP(Q21,'LCA Data'!$C$8:$S$107,11,FALSE)*Lists!R21,0)</f>
        <v>0</v>
      </c>
      <c r="Y21" s="140">
        <f>IF(NOT(Q21="Pick Type"),VLOOKUP(Q21,'LCA Data'!$C$8:$S$107,15,FALSE)*Lists!R21,0)</f>
        <v>0</v>
      </c>
      <c r="Z21" s="141">
        <f t="shared" si="3"/>
        <v>0</v>
      </c>
      <c r="AA21" s="138">
        <f>IF(NOT(Q21="Pick Type"),VLOOKUP(Q21,'LCA Data'!$C$8:$S$107,8,FALSE)*Lists!R21,0)</f>
        <v>0</v>
      </c>
      <c r="AB21" s="139">
        <f>IF(NOT(Q21="Pick Type"),VLOOKUP(Q21,'LCA Data'!$C$8:$S$107,12,FALSE)*Lists!R21,0)</f>
        <v>0</v>
      </c>
      <c r="AC21" s="140">
        <f>IF(NOT(Q21="Pick Type"),VLOOKUP(Q21,'LCA Data'!$C$8:$S$107,16,FALSE)*Lists!R21,0)</f>
        <v>0</v>
      </c>
      <c r="AD21" s="141">
        <f t="shared" si="4"/>
        <v>0</v>
      </c>
      <c r="AE21" s="142">
        <f>IF(NOT(Q21="Pick Type"),VLOOKUP(Q21,'LCA Data'!$C$8:$S$107,9,FALSE)*Lists!R21,0)</f>
        <v>0</v>
      </c>
      <c r="AF21" s="143">
        <f>IF(NOT(Q21="Pick Type"),VLOOKUP(Q21,'LCA Data'!$C$8:$S$107,13,FALSE)*Lists!R21,0)</f>
        <v>0</v>
      </c>
      <c r="AG21" s="144">
        <f>IF(NOT(Q21="Pick Type"),VLOOKUP(Q21,'LCA Data'!$C$8:$S$107,17,FALSE)*Lists!R21,0)</f>
        <v>0</v>
      </c>
      <c r="AH21" s="145">
        <f t="shared" si="5"/>
        <v>0</v>
      </c>
      <c r="AI21" s="134" t="str">
        <f t="shared" si="6"/>
        <v>#N/A</v>
      </c>
      <c r="AJ21" s="134"/>
      <c r="AK21" s="146" t="s">
        <v>314</v>
      </c>
      <c r="AL21" s="137">
        <f t="shared" si="7"/>
        <v>0</v>
      </c>
      <c r="AM21" s="134">
        <f t="shared" si="8"/>
        <v>0</v>
      </c>
      <c r="AN21" s="134">
        <f t="shared" si="9"/>
        <v>0</v>
      </c>
      <c r="AO21" s="134">
        <f t="shared" si="10"/>
        <v>0</v>
      </c>
      <c r="AP21" s="134">
        <f t="shared" si="11"/>
        <v>0</v>
      </c>
      <c r="AQ21" s="134">
        <f t="shared" si="12"/>
        <v>0</v>
      </c>
      <c r="AR21" s="134">
        <f t="shared" si="13"/>
        <v>0</v>
      </c>
      <c r="AS21" s="134">
        <f t="shared" si="14"/>
        <v>0</v>
      </c>
      <c r="AT21" s="134">
        <f t="shared" si="15"/>
        <v>0</v>
      </c>
      <c r="AU21" s="134">
        <f t="shared" si="16"/>
        <v>0</v>
      </c>
      <c r="AV21" s="134">
        <f t="shared" si="17"/>
        <v>0</v>
      </c>
      <c r="AW21" s="134">
        <f t="shared" si="18"/>
        <v>0</v>
      </c>
      <c r="AX21" s="134">
        <f t="shared" si="19"/>
        <v>0</v>
      </c>
      <c r="AY21" s="134">
        <f t="shared" si="20"/>
        <v>0</v>
      </c>
      <c r="AZ21" s="134">
        <f t="shared" si="21"/>
        <v>0</v>
      </c>
      <c r="BA21" s="134">
        <f t="shared" si="22"/>
        <v>0</v>
      </c>
      <c r="BB21" s="134">
        <f t="shared" si="23"/>
        <v>0</v>
      </c>
      <c r="BC21" s="134">
        <f t="shared" si="24"/>
        <v>0</v>
      </c>
      <c r="BD21" s="134">
        <f t="shared" si="25"/>
        <v>0</v>
      </c>
      <c r="BE21" s="134">
        <f t="shared" si="26"/>
        <v>0</v>
      </c>
      <c r="BF21" s="134">
        <f t="shared" si="27"/>
        <v>0</v>
      </c>
      <c r="BG21" s="134">
        <f t="shared" si="28"/>
        <v>0</v>
      </c>
      <c r="BH21" s="134">
        <f t="shared" si="29"/>
        <v>0</v>
      </c>
      <c r="BI21" s="134">
        <f t="shared" si="30"/>
        <v>0</v>
      </c>
      <c r="BJ21" s="134">
        <f t="shared" si="31"/>
        <v>0</v>
      </c>
      <c r="BK21" s="134">
        <f t="shared" si="32"/>
        <v>0</v>
      </c>
      <c r="BL21" s="134">
        <f t="shared" si="33"/>
        <v>0</v>
      </c>
      <c r="BM21" s="134">
        <f t="shared" si="34"/>
        <v>0</v>
      </c>
      <c r="BN21" s="134">
        <f t="shared" si="35"/>
        <v>0</v>
      </c>
      <c r="BO21" s="134">
        <f t="shared" si="36"/>
        <v>0</v>
      </c>
      <c r="BP21" s="134">
        <f t="shared" si="37"/>
        <v>0</v>
      </c>
      <c r="BQ21" s="134">
        <f t="shared" si="38"/>
        <v>0</v>
      </c>
      <c r="BR21" s="134">
        <f t="shared" si="39"/>
        <v>0</v>
      </c>
      <c r="BS21" s="134">
        <f t="shared" si="40"/>
        <v>0</v>
      </c>
      <c r="BT21" s="134">
        <f t="shared" si="41"/>
        <v>0</v>
      </c>
      <c r="BU21" s="134">
        <f t="shared" si="42"/>
        <v>0</v>
      </c>
      <c r="BV21" s="134">
        <f t="shared" si="43"/>
        <v>0</v>
      </c>
      <c r="BW21" s="134">
        <f t="shared" si="44"/>
        <v>0</v>
      </c>
      <c r="BX21" s="134">
        <f t="shared" si="45"/>
        <v>0</v>
      </c>
      <c r="BY21" s="134">
        <f t="shared" si="46"/>
        <v>0</v>
      </c>
      <c r="BZ21" s="134">
        <f t="shared" si="47"/>
        <v>0</v>
      </c>
      <c r="CA21" s="134">
        <f t="shared" si="48"/>
        <v>0</v>
      </c>
      <c r="CB21" s="134">
        <f t="shared" si="49"/>
        <v>0</v>
      </c>
      <c r="CC21" s="134">
        <f t="shared" si="50"/>
        <v>0</v>
      </c>
      <c r="CD21" s="134">
        <f t="shared" si="51"/>
        <v>0</v>
      </c>
      <c r="CE21" s="134">
        <f t="shared" si="52"/>
        <v>0</v>
      </c>
      <c r="CF21" s="134">
        <f t="shared" si="53"/>
        <v>0</v>
      </c>
      <c r="CG21" s="134">
        <f t="shared" si="54"/>
        <v>0</v>
      </c>
      <c r="CH21" s="134">
        <f t="shared" si="55"/>
        <v>0</v>
      </c>
      <c r="CI21" s="134">
        <f t="shared" si="56"/>
        <v>0</v>
      </c>
      <c r="CJ21" s="134">
        <f t="shared" si="57"/>
        <v>0</v>
      </c>
      <c r="CK21" s="134"/>
    </row>
    <row r="22" ht="9.7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 t="str">
        <f>'Construction and Materials'!B36</f>
        <v>Pick Assembly</v>
      </c>
      <c r="Q22" s="134" t="str">
        <f>'Construction and Materials'!C36</f>
        <v>Pick Type</v>
      </c>
      <c r="R22" s="137" t="str">
        <f>'Construction and Materials'!D36</f>
        <v/>
      </c>
      <c r="S22" s="138">
        <f>IF(NOT(Q22="Pick Type"),VLOOKUP(Q22,'LCA Data'!$C$8:$S$107,6,FALSE)*Lists!R22,0)</f>
        <v>0</v>
      </c>
      <c r="T22" s="139">
        <f>IF(NOT(Q22="Pick Type"),VLOOKUP(Q22,'LCA Data'!$C$8:$S$107,10,FALSE)*Lists!R22,0)</f>
        <v>0</v>
      </c>
      <c r="U22" s="140">
        <f>IF(NOT(Q22="Pick Type"),VLOOKUP(Q22,'LCA Data'!$C$8:$S$107,14,FALSE)*Lists!R22,0)</f>
        <v>0</v>
      </c>
      <c r="V22" s="141">
        <f t="shared" si="2"/>
        <v>0</v>
      </c>
      <c r="W22" s="138">
        <f>IF(NOT(Q22="Pick Type"),VLOOKUP(Q22,'LCA Data'!$C$8:$S$107,7,FALSE)*Lists!R22,0)</f>
        <v>0</v>
      </c>
      <c r="X22" s="139">
        <f>IF(NOT(Q22="Pick Type"),VLOOKUP(Q22,'LCA Data'!$C$8:$S$107,11,FALSE)*Lists!R22,0)</f>
        <v>0</v>
      </c>
      <c r="Y22" s="140">
        <f>IF(NOT(Q22="Pick Type"),VLOOKUP(Q22,'LCA Data'!$C$8:$S$107,15,FALSE)*Lists!R22,0)</f>
        <v>0</v>
      </c>
      <c r="Z22" s="141">
        <f t="shared" si="3"/>
        <v>0</v>
      </c>
      <c r="AA22" s="138">
        <f>IF(NOT(Q22="Pick Type"),VLOOKUP(Q22,'LCA Data'!$C$8:$S$107,8,FALSE)*Lists!R22,0)</f>
        <v>0</v>
      </c>
      <c r="AB22" s="139">
        <f>IF(NOT(Q22="Pick Type"),VLOOKUP(Q22,'LCA Data'!$C$8:$S$107,12,FALSE)*Lists!R22,0)</f>
        <v>0</v>
      </c>
      <c r="AC22" s="140">
        <f>IF(NOT(Q22="Pick Type"),VLOOKUP(Q22,'LCA Data'!$C$8:$S$107,16,FALSE)*Lists!R22,0)</f>
        <v>0</v>
      </c>
      <c r="AD22" s="141">
        <f t="shared" si="4"/>
        <v>0</v>
      </c>
      <c r="AE22" s="142">
        <f>IF(NOT(Q22="Pick Type"),VLOOKUP(Q22,'LCA Data'!$C$8:$S$107,9,FALSE)*Lists!R22,0)</f>
        <v>0</v>
      </c>
      <c r="AF22" s="143">
        <f>IF(NOT(Q22="Pick Type"),VLOOKUP(Q22,'LCA Data'!$C$8:$S$107,13,FALSE)*Lists!R22,0)</f>
        <v>0</v>
      </c>
      <c r="AG22" s="144">
        <f>IF(NOT(Q22="Pick Type"),VLOOKUP(Q22,'LCA Data'!$C$8:$S$107,17,FALSE)*Lists!R22,0)</f>
        <v>0</v>
      </c>
      <c r="AH22" s="145">
        <f t="shared" si="5"/>
        <v>0</v>
      </c>
      <c r="AI22" s="134" t="str">
        <f t="shared" si="6"/>
        <v>#N/A</v>
      </c>
      <c r="AJ22" s="134"/>
      <c r="AK22" s="146" t="s">
        <v>314</v>
      </c>
      <c r="AL22" s="137">
        <f t="shared" si="7"/>
        <v>0</v>
      </c>
      <c r="AM22" s="134">
        <f t="shared" si="8"/>
        <v>0</v>
      </c>
      <c r="AN22" s="134">
        <f t="shared" si="9"/>
        <v>0</v>
      </c>
      <c r="AO22" s="134">
        <f t="shared" si="10"/>
        <v>0</v>
      </c>
      <c r="AP22" s="134">
        <f t="shared" si="11"/>
        <v>0</v>
      </c>
      <c r="AQ22" s="134">
        <f t="shared" si="12"/>
        <v>0</v>
      </c>
      <c r="AR22" s="134">
        <f t="shared" si="13"/>
        <v>0</v>
      </c>
      <c r="AS22" s="134">
        <f t="shared" si="14"/>
        <v>0</v>
      </c>
      <c r="AT22" s="134">
        <f t="shared" si="15"/>
        <v>0</v>
      </c>
      <c r="AU22" s="134">
        <f t="shared" si="16"/>
        <v>0</v>
      </c>
      <c r="AV22" s="134">
        <f t="shared" si="17"/>
        <v>0</v>
      </c>
      <c r="AW22" s="134">
        <f t="shared" si="18"/>
        <v>0</v>
      </c>
      <c r="AX22" s="134">
        <f t="shared" si="19"/>
        <v>0</v>
      </c>
      <c r="AY22" s="134">
        <f t="shared" si="20"/>
        <v>0</v>
      </c>
      <c r="AZ22" s="134">
        <f t="shared" si="21"/>
        <v>0</v>
      </c>
      <c r="BA22" s="134">
        <f t="shared" si="22"/>
        <v>0</v>
      </c>
      <c r="BB22" s="134">
        <f t="shared" si="23"/>
        <v>0</v>
      </c>
      <c r="BC22" s="134">
        <f t="shared" si="24"/>
        <v>0</v>
      </c>
      <c r="BD22" s="134">
        <f t="shared" si="25"/>
        <v>0</v>
      </c>
      <c r="BE22" s="134">
        <f t="shared" si="26"/>
        <v>0</v>
      </c>
      <c r="BF22" s="134">
        <f t="shared" si="27"/>
        <v>0</v>
      </c>
      <c r="BG22" s="134">
        <f t="shared" si="28"/>
        <v>0</v>
      </c>
      <c r="BH22" s="134">
        <f t="shared" si="29"/>
        <v>0</v>
      </c>
      <c r="BI22" s="134">
        <f t="shared" si="30"/>
        <v>0</v>
      </c>
      <c r="BJ22" s="134">
        <f t="shared" si="31"/>
        <v>0</v>
      </c>
      <c r="BK22" s="134">
        <f t="shared" si="32"/>
        <v>0</v>
      </c>
      <c r="BL22" s="134">
        <f t="shared" si="33"/>
        <v>0</v>
      </c>
      <c r="BM22" s="134">
        <f t="shared" si="34"/>
        <v>0</v>
      </c>
      <c r="BN22" s="134">
        <f t="shared" si="35"/>
        <v>0</v>
      </c>
      <c r="BO22" s="134">
        <f t="shared" si="36"/>
        <v>0</v>
      </c>
      <c r="BP22" s="134">
        <f t="shared" si="37"/>
        <v>0</v>
      </c>
      <c r="BQ22" s="134">
        <f t="shared" si="38"/>
        <v>0</v>
      </c>
      <c r="BR22" s="134">
        <f t="shared" si="39"/>
        <v>0</v>
      </c>
      <c r="BS22" s="134">
        <f t="shared" si="40"/>
        <v>0</v>
      </c>
      <c r="BT22" s="134">
        <f t="shared" si="41"/>
        <v>0</v>
      </c>
      <c r="BU22" s="134">
        <f t="shared" si="42"/>
        <v>0</v>
      </c>
      <c r="BV22" s="134">
        <f t="shared" si="43"/>
        <v>0</v>
      </c>
      <c r="BW22" s="134">
        <f t="shared" si="44"/>
        <v>0</v>
      </c>
      <c r="BX22" s="134">
        <f t="shared" si="45"/>
        <v>0</v>
      </c>
      <c r="BY22" s="134">
        <f t="shared" si="46"/>
        <v>0</v>
      </c>
      <c r="BZ22" s="134">
        <f t="shared" si="47"/>
        <v>0</v>
      </c>
      <c r="CA22" s="134">
        <f t="shared" si="48"/>
        <v>0</v>
      </c>
      <c r="CB22" s="134">
        <f t="shared" si="49"/>
        <v>0</v>
      </c>
      <c r="CC22" s="134">
        <f t="shared" si="50"/>
        <v>0</v>
      </c>
      <c r="CD22" s="134">
        <f t="shared" si="51"/>
        <v>0</v>
      </c>
      <c r="CE22" s="134">
        <f t="shared" si="52"/>
        <v>0</v>
      </c>
      <c r="CF22" s="134">
        <f t="shared" si="53"/>
        <v>0</v>
      </c>
      <c r="CG22" s="134">
        <f t="shared" si="54"/>
        <v>0</v>
      </c>
      <c r="CH22" s="134">
        <f t="shared" si="55"/>
        <v>0</v>
      </c>
      <c r="CI22" s="134">
        <f t="shared" si="56"/>
        <v>0</v>
      </c>
      <c r="CJ22" s="134">
        <f t="shared" si="57"/>
        <v>0</v>
      </c>
      <c r="CK22" s="134"/>
    </row>
    <row r="23" ht="9.75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 t="str">
        <f>'Construction and Materials'!B37</f>
        <v>Pick Assembly</v>
      </c>
      <c r="Q23" s="134" t="str">
        <f>'Construction and Materials'!C37</f>
        <v>Pick Type</v>
      </c>
      <c r="R23" s="137" t="str">
        <f>'Construction and Materials'!D37</f>
        <v/>
      </c>
      <c r="S23" s="138">
        <f>IF(NOT(Q23="Pick Type"),VLOOKUP(Q23,'LCA Data'!$C$8:$S$107,6,FALSE)*Lists!R23,0)</f>
        <v>0</v>
      </c>
      <c r="T23" s="139">
        <f>IF(NOT(Q23="Pick Type"),VLOOKUP(Q23,'LCA Data'!$C$8:$S$107,10,FALSE)*Lists!R23,0)</f>
        <v>0</v>
      </c>
      <c r="U23" s="140">
        <f>IF(NOT(Q23="Pick Type"),VLOOKUP(Q23,'LCA Data'!$C$8:$S$107,14,FALSE)*Lists!R23,0)</f>
        <v>0</v>
      </c>
      <c r="V23" s="141">
        <f t="shared" si="2"/>
        <v>0</v>
      </c>
      <c r="W23" s="138">
        <f>IF(NOT(Q23="Pick Type"),VLOOKUP(Q23,'LCA Data'!$C$8:$S$107,7,FALSE)*Lists!R23,0)</f>
        <v>0</v>
      </c>
      <c r="X23" s="139">
        <f>IF(NOT(Q23="Pick Type"),VLOOKUP(Q23,'LCA Data'!$C$8:$S$107,11,FALSE)*Lists!R23,0)</f>
        <v>0</v>
      </c>
      <c r="Y23" s="140">
        <f>IF(NOT(Q23="Pick Type"),VLOOKUP(Q23,'LCA Data'!$C$8:$S$107,15,FALSE)*Lists!R23,0)</f>
        <v>0</v>
      </c>
      <c r="Z23" s="141">
        <f t="shared" si="3"/>
        <v>0</v>
      </c>
      <c r="AA23" s="138">
        <f>IF(NOT(Q23="Pick Type"),VLOOKUP(Q23,'LCA Data'!$C$8:$S$107,8,FALSE)*Lists!R23,0)</f>
        <v>0</v>
      </c>
      <c r="AB23" s="139">
        <f>IF(NOT(Q23="Pick Type"),VLOOKUP(Q23,'LCA Data'!$C$8:$S$107,12,FALSE)*Lists!R23,0)</f>
        <v>0</v>
      </c>
      <c r="AC23" s="140">
        <f>IF(NOT(Q23="Pick Type"),VLOOKUP(Q23,'LCA Data'!$C$8:$S$107,16,FALSE)*Lists!R23,0)</f>
        <v>0</v>
      </c>
      <c r="AD23" s="141">
        <f t="shared" si="4"/>
        <v>0</v>
      </c>
      <c r="AE23" s="142">
        <f>IF(NOT(Q23="Pick Type"),VLOOKUP(Q23,'LCA Data'!$C$8:$S$107,9,FALSE)*Lists!R23,0)</f>
        <v>0</v>
      </c>
      <c r="AF23" s="143">
        <f>IF(NOT(Q23="Pick Type"),VLOOKUP(Q23,'LCA Data'!$C$8:$S$107,13,FALSE)*Lists!R23,0)</f>
        <v>0</v>
      </c>
      <c r="AG23" s="144">
        <f>IF(NOT(Q23="Pick Type"),VLOOKUP(Q23,'LCA Data'!$C$8:$S$107,17,FALSE)*Lists!R23,0)</f>
        <v>0</v>
      </c>
      <c r="AH23" s="145">
        <f t="shared" si="5"/>
        <v>0</v>
      </c>
      <c r="AI23" s="134" t="str">
        <f t="shared" si="6"/>
        <v>#N/A</v>
      </c>
      <c r="AJ23" s="134"/>
      <c r="AK23" s="146" t="s">
        <v>314</v>
      </c>
      <c r="AL23" s="137">
        <f t="shared" si="7"/>
        <v>0</v>
      </c>
      <c r="AM23" s="134">
        <f t="shared" si="8"/>
        <v>0</v>
      </c>
      <c r="AN23" s="134">
        <f t="shared" si="9"/>
        <v>0</v>
      </c>
      <c r="AO23" s="134">
        <f t="shared" si="10"/>
        <v>0</v>
      </c>
      <c r="AP23" s="134">
        <f t="shared" si="11"/>
        <v>0</v>
      </c>
      <c r="AQ23" s="134">
        <f t="shared" si="12"/>
        <v>0</v>
      </c>
      <c r="AR23" s="134">
        <f t="shared" si="13"/>
        <v>0</v>
      </c>
      <c r="AS23" s="134">
        <f t="shared" si="14"/>
        <v>0</v>
      </c>
      <c r="AT23" s="134">
        <f t="shared" si="15"/>
        <v>0</v>
      </c>
      <c r="AU23" s="134">
        <f t="shared" si="16"/>
        <v>0</v>
      </c>
      <c r="AV23" s="134">
        <f t="shared" si="17"/>
        <v>0</v>
      </c>
      <c r="AW23" s="134">
        <f t="shared" si="18"/>
        <v>0</v>
      </c>
      <c r="AX23" s="134">
        <f t="shared" si="19"/>
        <v>0</v>
      </c>
      <c r="AY23" s="134">
        <f t="shared" si="20"/>
        <v>0</v>
      </c>
      <c r="AZ23" s="134">
        <f t="shared" si="21"/>
        <v>0</v>
      </c>
      <c r="BA23" s="134">
        <f t="shared" si="22"/>
        <v>0</v>
      </c>
      <c r="BB23" s="134">
        <f t="shared" si="23"/>
        <v>0</v>
      </c>
      <c r="BC23" s="134">
        <f t="shared" si="24"/>
        <v>0</v>
      </c>
      <c r="BD23" s="134">
        <f t="shared" si="25"/>
        <v>0</v>
      </c>
      <c r="BE23" s="134">
        <f t="shared" si="26"/>
        <v>0</v>
      </c>
      <c r="BF23" s="134">
        <f t="shared" si="27"/>
        <v>0</v>
      </c>
      <c r="BG23" s="134">
        <f t="shared" si="28"/>
        <v>0</v>
      </c>
      <c r="BH23" s="134">
        <f t="shared" si="29"/>
        <v>0</v>
      </c>
      <c r="BI23" s="134">
        <f t="shared" si="30"/>
        <v>0</v>
      </c>
      <c r="BJ23" s="134">
        <f t="shared" si="31"/>
        <v>0</v>
      </c>
      <c r="BK23" s="134">
        <f t="shared" si="32"/>
        <v>0</v>
      </c>
      <c r="BL23" s="134">
        <f t="shared" si="33"/>
        <v>0</v>
      </c>
      <c r="BM23" s="134">
        <f t="shared" si="34"/>
        <v>0</v>
      </c>
      <c r="BN23" s="134">
        <f t="shared" si="35"/>
        <v>0</v>
      </c>
      <c r="BO23" s="134">
        <f t="shared" si="36"/>
        <v>0</v>
      </c>
      <c r="BP23" s="134">
        <f t="shared" si="37"/>
        <v>0</v>
      </c>
      <c r="BQ23" s="134">
        <f t="shared" si="38"/>
        <v>0</v>
      </c>
      <c r="BR23" s="134">
        <f t="shared" si="39"/>
        <v>0</v>
      </c>
      <c r="BS23" s="134">
        <f t="shared" si="40"/>
        <v>0</v>
      </c>
      <c r="BT23" s="134">
        <f t="shared" si="41"/>
        <v>0</v>
      </c>
      <c r="BU23" s="134">
        <f t="shared" si="42"/>
        <v>0</v>
      </c>
      <c r="BV23" s="134">
        <f t="shared" si="43"/>
        <v>0</v>
      </c>
      <c r="BW23" s="134">
        <f t="shared" si="44"/>
        <v>0</v>
      </c>
      <c r="BX23" s="134">
        <f t="shared" si="45"/>
        <v>0</v>
      </c>
      <c r="BY23" s="134">
        <f t="shared" si="46"/>
        <v>0</v>
      </c>
      <c r="BZ23" s="134">
        <f t="shared" si="47"/>
        <v>0</v>
      </c>
      <c r="CA23" s="134">
        <f t="shared" si="48"/>
        <v>0</v>
      </c>
      <c r="CB23" s="134">
        <f t="shared" si="49"/>
        <v>0</v>
      </c>
      <c r="CC23" s="134">
        <f t="shared" si="50"/>
        <v>0</v>
      </c>
      <c r="CD23" s="134">
        <f t="shared" si="51"/>
        <v>0</v>
      </c>
      <c r="CE23" s="134">
        <f t="shared" si="52"/>
        <v>0</v>
      </c>
      <c r="CF23" s="134">
        <f t="shared" si="53"/>
        <v>0</v>
      </c>
      <c r="CG23" s="134">
        <f t="shared" si="54"/>
        <v>0</v>
      </c>
      <c r="CH23" s="134">
        <f t="shared" si="55"/>
        <v>0</v>
      </c>
      <c r="CI23" s="134">
        <f t="shared" si="56"/>
        <v>0</v>
      </c>
      <c r="CJ23" s="134">
        <f t="shared" si="57"/>
        <v>0</v>
      </c>
      <c r="CK23" s="134"/>
    </row>
    <row r="24" ht="9.75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 t="str">
        <f>'Construction and Materials'!B38</f>
        <v>Pick Assembly</v>
      </c>
      <c r="Q24" s="134" t="str">
        <f>'Construction and Materials'!C38</f>
        <v>Pick Type</v>
      </c>
      <c r="R24" s="137" t="str">
        <f>'Construction and Materials'!D38</f>
        <v/>
      </c>
      <c r="S24" s="138">
        <f>IF(NOT(Q24="Pick Type"),VLOOKUP(Q24,'LCA Data'!$C$8:$S$107,6,FALSE)*Lists!R24,0)</f>
        <v>0</v>
      </c>
      <c r="T24" s="139">
        <f>IF(NOT(Q24="Pick Type"),VLOOKUP(Q24,'LCA Data'!$C$8:$S$107,10,FALSE)*Lists!R24,0)</f>
        <v>0</v>
      </c>
      <c r="U24" s="140">
        <f>IF(NOT(Q24="Pick Type"),VLOOKUP(Q24,'LCA Data'!$C$8:$S$107,14,FALSE)*Lists!R24,0)</f>
        <v>0</v>
      </c>
      <c r="V24" s="141">
        <f t="shared" si="2"/>
        <v>0</v>
      </c>
      <c r="W24" s="138">
        <f>IF(NOT(Q24="Pick Type"),VLOOKUP(Q24,'LCA Data'!$C$8:$S$107,7,FALSE)*Lists!R24,0)</f>
        <v>0</v>
      </c>
      <c r="X24" s="139">
        <f>IF(NOT(Q24="Pick Type"),VLOOKUP(Q24,'LCA Data'!$C$8:$S$107,11,FALSE)*Lists!R24,0)</f>
        <v>0</v>
      </c>
      <c r="Y24" s="140">
        <f>IF(NOT(Q24="Pick Type"),VLOOKUP(Q24,'LCA Data'!$C$8:$S$107,15,FALSE)*Lists!R24,0)</f>
        <v>0</v>
      </c>
      <c r="Z24" s="141">
        <f t="shared" si="3"/>
        <v>0</v>
      </c>
      <c r="AA24" s="138">
        <f>IF(NOT(Q24="Pick Type"),VLOOKUP(Q24,'LCA Data'!$C$8:$S$107,8,FALSE)*Lists!R24,0)</f>
        <v>0</v>
      </c>
      <c r="AB24" s="139">
        <f>IF(NOT(Q24="Pick Type"),VLOOKUP(Q24,'LCA Data'!$C$8:$S$107,12,FALSE)*Lists!R24,0)</f>
        <v>0</v>
      </c>
      <c r="AC24" s="140">
        <f>IF(NOT(Q24="Pick Type"),VLOOKUP(Q24,'LCA Data'!$C$8:$S$107,16,FALSE)*Lists!R24,0)</f>
        <v>0</v>
      </c>
      <c r="AD24" s="141">
        <f t="shared" si="4"/>
        <v>0</v>
      </c>
      <c r="AE24" s="142">
        <f>IF(NOT(Q24="Pick Type"),VLOOKUP(Q24,'LCA Data'!$C$8:$S$107,9,FALSE)*Lists!R24,0)</f>
        <v>0</v>
      </c>
      <c r="AF24" s="143">
        <f>IF(NOT(Q24="Pick Type"),VLOOKUP(Q24,'LCA Data'!$C$8:$S$107,13,FALSE)*Lists!R24,0)</f>
        <v>0</v>
      </c>
      <c r="AG24" s="144">
        <f>IF(NOT(Q24="Pick Type"),VLOOKUP(Q24,'LCA Data'!$C$8:$S$107,17,FALSE)*Lists!R24,0)</f>
        <v>0</v>
      </c>
      <c r="AH24" s="145">
        <f t="shared" si="5"/>
        <v>0</v>
      </c>
      <c r="AI24" s="134" t="str">
        <f t="shared" si="6"/>
        <v>#N/A</v>
      </c>
      <c r="AJ24" s="134"/>
      <c r="AK24" s="146" t="s">
        <v>314</v>
      </c>
      <c r="AL24" s="137">
        <f t="shared" si="7"/>
        <v>0</v>
      </c>
      <c r="AM24" s="134">
        <f t="shared" si="8"/>
        <v>0</v>
      </c>
      <c r="AN24" s="134">
        <f t="shared" si="9"/>
        <v>0</v>
      </c>
      <c r="AO24" s="134">
        <f t="shared" si="10"/>
        <v>0</v>
      </c>
      <c r="AP24" s="134">
        <f t="shared" si="11"/>
        <v>0</v>
      </c>
      <c r="AQ24" s="134">
        <f t="shared" si="12"/>
        <v>0</v>
      </c>
      <c r="AR24" s="134">
        <f t="shared" si="13"/>
        <v>0</v>
      </c>
      <c r="AS24" s="134">
        <f t="shared" si="14"/>
        <v>0</v>
      </c>
      <c r="AT24" s="134">
        <f t="shared" si="15"/>
        <v>0</v>
      </c>
      <c r="AU24" s="134">
        <f t="shared" si="16"/>
        <v>0</v>
      </c>
      <c r="AV24" s="134">
        <f t="shared" si="17"/>
        <v>0</v>
      </c>
      <c r="AW24" s="134">
        <f t="shared" si="18"/>
        <v>0</v>
      </c>
      <c r="AX24" s="134">
        <f t="shared" si="19"/>
        <v>0</v>
      </c>
      <c r="AY24" s="134">
        <f t="shared" si="20"/>
        <v>0</v>
      </c>
      <c r="AZ24" s="134">
        <f t="shared" si="21"/>
        <v>0</v>
      </c>
      <c r="BA24" s="134">
        <f t="shared" si="22"/>
        <v>0</v>
      </c>
      <c r="BB24" s="134">
        <f t="shared" si="23"/>
        <v>0</v>
      </c>
      <c r="BC24" s="134">
        <f t="shared" si="24"/>
        <v>0</v>
      </c>
      <c r="BD24" s="134">
        <f t="shared" si="25"/>
        <v>0</v>
      </c>
      <c r="BE24" s="134">
        <f t="shared" si="26"/>
        <v>0</v>
      </c>
      <c r="BF24" s="134">
        <f t="shared" si="27"/>
        <v>0</v>
      </c>
      <c r="BG24" s="134">
        <f t="shared" si="28"/>
        <v>0</v>
      </c>
      <c r="BH24" s="134">
        <f t="shared" si="29"/>
        <v>0</v>
      </c>
      <c r="BI24" s="134">
        <f t="shared" si="30"/>
        <v>0</v>
      </c>
      <c r="BJ24" s="134">
        <f t="shared" si="31"/>
        <v>0</v>
      </c>
      <c r="BK24" s="134">
        <f t="shared" si="32"/>
        <v>0</v>
      </c>
      <c r="BL24" s="134">
        <f t="shared" si="33"/>
        <v>0</v>
      </c>
      <c r="BM24" s="134">
        <f t="shared" si="34"/>
        <v>0</v>
      </c>
      <c r="BN24" s="134">
        <f t="shared" si="35"/>
        <v>0</v>
      </c>
      <c r="BO24" s="134">
        <f t="shared" si="36"/>
        <v>0</v>
      </c>
      <c r="BP24" s="134">
        <f t="shared" si="37"/>
        <v>0</v>
      </c>
      <c r="BQ24" s="134">
        <f t="shared" si="38"/>
        <v>0</v>
      </c>
      <c r="BR24" s="134">
        <f t="shared" si="39"/>
        <v>0</v>
      </c>
      <c r="BS24" s="134">
        <f t="shared" si="40"/>
        <v>0</v>
      </c>
      <c r="BT24" s="134">
        <f t="shared" si="41"/>
        <v>0</v>
      </c>
      <c r="BU24" s="134">
        <f t="shared" si="42"/>
        <v>0</v>
      </c>
      <c r="BV24" s="134">
        <f t="shared" si="43"/>
        <v>0</v>
      </c>
      <c r="BW24" s="134">
        <f t="shared" si="44"/>
        <v>0</v>
      </c>
      <c r="BX24" s="134">
        <f t="shared" si="45"/>
        <v>0</v>
      </c>
      <c r="BY24" s="134">
        <f t="shared" si="46"/>
        <v>0</v>
      </c>
      <c r="BZ24" s="134">
        <f t="shared" si="47"/>
        <v>0</v>
      </c>
      <c r="CA24" s="134">
        <f t="shared" si="48"/>
        <v>0</v>
      </c>
      <c r="CB24" s="134">
        <f t="shared" si="49"/>
        <v>0</v>
      </c>
      <c r="CC24" s="134">
        <f t="shared" si="50"/>
        <v>0</v>
      </c>
      <c r="CD24" s="134">
        <f t="shared" si="51"/>
        <v>0</v>
      </c>
      <c r="CE24" s="134">
        <f t="shared" si="52"/>
        <v>0</v>
      </c>
      <c r="CF24" s="134">
        <f t="shared" si="53"/>
        <v>0</v>
      </c>
      <c r="CG24" s="134">
        <f t="shared" si="54"/>
        <v>0</v>
      </c>
      <c r="CH24" s="134">
        <f t="shared" si="55"/>
        <v>0</v>
      </c>
      <c r="CI24" s="134">
        <f t="shared" si="56"/>
        <v>0</v>
      </c>
      <c r="CJ24" s="134">
        <f t="shared" si="57"/>
        <v>0</v>
      </c>
      <c r="CK24" s="134"/>
    </row>
    <row r="25" ht="9.75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 t="str">
        <f>'Construction and Materials'!B39</f>
        <v>Pick Assembly</v>
      </c>
      <c r="Q25" s="134" t="str">
        <f>'Construction and Materials'!C39</f>
        <v>Pick Type</v>
      </c>
      <c r="R25" s="137" t="str">
        <f>'Construction and Materials'!D39</f>
        <v/>
      </c>
      <c r="S25" s="138">
        <f>IF(NOT(Q25="Pick Type"),VLOOKUP(Q25,'LCA Data'!$C$8:$S$107,6,FALSE)*Lists!R25,0)</f>
        <v>0</v>
      </c>
      <c r="T25" s="139">
        <f>IF(NOT(Q25="Pick Type"),VLOOKUP(Q25,'LCA Data'!$C$8:$S$107,10,FALSE)*Lists!R25,0)</f>
        <v>0</v>
      </c>
      <c r="U25" s="140">
        <f>IF(NOT(Q25="Pick Type"),VLOOKUP(Q25,'LCA Data'!$C$8:$S$107,14,FALSE)*Lists!R25,0)</f>
        <v>0</v>
      </c>
      <c r="V25" s="141">
        <f t="shared" si="2"/>
        <v>0</v>
      </c>
      <c r="W25" s="138">
        <f>IF(NOT(Q25="Pick Type"),VLOOKUP(Q25,'LCA Data'!$C$8:$S$107,7,FALSE)*Lists!R25,0)</f>
        <v>0</v>
      </c>
      <c r="X25" s="139">
        <f>IF(NOT(Q25="Pick Type"),VLOOKUP(Q25,'LCA Data'!$C$8:$S$107,11,FALSE)*Lists!R25,0)</f>
        <v>0</v>
      </c>
      <c r="Y25" s="140">
        <f>IF(NOT(Q25="Pick Type"),VLOOKUP(Q25,'LCA Data'!$C$8:$S$107,15,FALSE)*Lists!R25,0)</f>
        <v>0</v>
      </c>
      <c r="Z25" s="141">
        <f t="shared" si="3"/>
        <v>0</v>
      </c>
      <c r="AA25" s="138">
        <f>IF(NOT(Q25="Pick Type"),VLOOKUP(Q25,'LCA Data'!$C$8:$S$107,8,FALSE)*Lists!R25,0)</f>
        <v>0</v>
      </c>
      <c r="AB25" s="139">
        <f>IF(NOT(Q25="Pick Type"),VLOOKUP(Q25,'LCA Data'!$C$8:$S$107,12,FALSE)*Lists!R25,0)</f>
        <v>0</v>
      </c>
      <c r="AC25" s="140">
        <f>IF(NOT(Q25="Pick Type"),VLOOKUP(Q25,'LCA Data'!$C$8:$S$107,16,FALSE)*Lists!R25,0)</f>
        <v>0</v>
      </c>
      <c r="AD25" s="141">
        <f t="shared" si="4"/>
        <v>0</v>
      </c>
      <c r="AE25" s="142">
        <f>IF(NOT(Q25="Pick Type"),VLOOKUP(Q25,'LCA Data'!$C$8:$S$107,9,FALSE)*Lists!R25,0)</f>
        <v>0</v>
      </c>
      <c r="AF25" s="143">
        <f>IF(NOT(Q25="Pick Type"),VLOOKUP(Q25,'LCA Data'!$C$8:$S$107,13,FALSE)*Lists!R25,0)</f>
        <v>0</v>
      </c>
      <c r="AG25" s="144">
        <f>IF(NOT(Q25="Pick Type"),VLOOKUP(Q25,'LCA Data'!$C$8:$S$107,17,FALSE)*Lists!R25,0)</f>
        <v>0</v>
      </c>
      <c r="AH25" s="145">
        <f t="shared" si="5"/>
        <v>0</v>
      </c>
      <c r="AI25" s="134" t="str">
        <f t="shared" si="6"/>
        <v>#N/A</v>
      </c>
      <c r="AJ25" s="134"/>
      <c r="AK25" s="146" t="s">
        <v>314</v>
      </c>
      <c r="AL25" s="137">
        <f t="shared" si="7"/>
        <v>0</v>
      </c>
      <c r="AM25" s="134">
        <f t="shared" si="8"/>
        <v>0</v>
      </c>
      <c r="AN25" s="134">
        <f t="shared" si="9"/>
        <v>0</v>
      </c>
      <c r="AO25" s="134">
        <f t="shared" si="10"/>
        <v>0</v>
      </c>
      <c r="AP25" s="134">
        <f t="shared" si="11"/>
        <v>0</v>
      </c>
      <c r="AQ25" s="134">
        <f t="shared" si="12"/>
        <v>0</v>
      </c>
      <c r="AR25" s="134">
        <f t="shared" si="13"/>
        <v>0</v>
      </c>
      <c r="AS25" s="134">
        <f t="shared" si="14"/>
        <v>0</v>
      </c>
      <c r="AT25" s="134">
        <f t="shared" si="15"/>
        <v>0</v>
      </c>
      <c r="AU25" s="134">
        <f t="shared" si="16"/>
        <v>0</v>
      </c>
      <c r="AV25" s="134">
        <f t="shared" si="17"/>
        <v>0</v>
      </c>
      <c r="AW25" s="134">
        <f t="shared" si="18"/>
        <v>0</v>
      </c>
      <c r="AX25" s="134">
        <f t="shared" si="19"/>
        <v>0</v>
      </c>
      <c r="AY25" s="134">
        <f t="shared" si="20"/>
        <v>0</v>
      </c>
      <c r="AZ25" s="134">
        <f t="shared" si="21"/>
        <v>0</v>
      </c>
      <c r="BA25" s="134">
        <f t="shared" si="22"/>
        <v>0</v>
      </c>
      <c r="BB25" s="134">
        <f t="shared" si="23"/>
        <v>0</v>
      </c>
      <c r="BC25" s="134">
        <f t="shared" si="24"/>
        <v>0</v>
      </c>
      <c r="BD25" s="134">
        <f t="shared" si="25"/>
        <v>0</v>
      </c>
      <c r="BE25" s="134">
        <f t="shared" si="26"/>
        <v>0</v>
      </c>
      <c r="BF25" s="134">
        <f t="shared" si="27"/>
        <v>0</v>
      </c>
      <c r="BG25" s="134">
        <f t="shared" si="28"/>
        <v>0</v>
      </c>
      <c r="BH25" s="134">
        <f t="shared" si="29"/>
        <v>0</v>
      </c>
      <c r="BI25" s="134">
        <f t="shared" si="30"/>
        <v>0</v>
      </c>
      <c r="BJ25" s="134">
        <f t="shared" si="31"/>
        <v>0</v>
      </c>
      <c r="BK25" s="134">
        <f t="shared" si="32"/>
        <v>0</v>
      </c>
      <c r="BL25" s="134">
        <f t="shared" si="33"/>
        <v>0</v>
      </c>
      <c r="BM25" s="134">
        <f t="shared" si="34"/>
        <v>0</v>
      </c>
      <c r="BN25" s="134">
        <f t="shared" si="35"/>
        <v>0</v>
      </c>
      <c r="BO25" s="134">
        <f t="shared" si="36"/>
        <v>0</v>
      </c>
      <c r="BP25" s="134">
        <f t="shared" si="37"/>
        <v>0</v>
      </c>
      <c r="BQ25" s="134">
        <f t="shared" si="38"/>
        <v>0</v>
      </c>
      <c r="BR25" s="134">
        <f t="shared" si="39"/>
        <v>0</v>
      </c>
      <c r="BS25" s="134">
        <f t="shared" si="40"/>
        <v>0</v>
      </c>
      <c r="BT25" s="134">
        <f t="shared" si="41"/>
        <v>0</v>
      </c>
      <c r="BU25" s="134">
        <f t="shared" si="42"/>
        <v>0</v>
      </c>
      <c r="BV25" s="134">
        <f t="shared" si="43"/>
        <v>0</v>
      </c>
      <c r="BW25" s="134">
        <f t="shared" si="44"/>
        <v>0</v>
      </c>
      <c r="BX25" s="134">
        <f t="shared" si="45"/>
        <v>0</v>
      </c>
      <c r="BY25" s="134">
        <f t="shared" si="46"/>
        <v>0</v>
      </c>
      <c r="BZ25" s="134">
        <f t="shared" si="47"/>
        <v>0</v>
      </c>
      <c r="CA25" s="134">
        <f t="shared" si="48"/>
        <v>0</v>
      </c>
      <c r="CB25" s="134">
        <f t="shared" si="49"/>
        <v>0</v>
      </c>
      <c r="CC25" s="134">
        <f t="shared" si="50"/>
        <v>0</v>
      </c>
      <c r="CD25" s="134">
        <f t="shared" si="51"/>
        <v>0</v>
      </c>
      <c r="CE25" s="134">
        <f t="shared" si="52"/>
        <v>0</v>
      </c>
      <c r="CF25" s="134">
        <f t="shared" si="53"/>
        <v>0</v>
      </c>
      <c r="CG25" s="134">
        <f t="shared" si="54"/>
        <v>0</v>
      </c>
      <c r="CH25" s="134">
        <f t="shared" si="55"/>
        <v>0</v>
      </c>
      <c r="CI25" s="134">
        <f t="shared" si="56"/>
        <v>0</v>
      </c>
      <c r="CJ25" s="134">
        <f t="shared" si="57"/>
        <v>0</v>
      </c>
      <c r="CK25" s="134"/>
    </row>
    <row r="26" ht="9.75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 t="str">
        <f>'Construction and Materials'!B40</f>
        <v>Pick Assembly</v>
      </c>
      <c r="Q26" s="134" t="str">
        <f>'Construction and Materials'!C40</f>
        <v>Pick Type</v>
      </c>
      <c r="R26" s="137" t="str">
        <f>'Construction and Materials'!D40</f>
        <v/>
      </c>
      <c r="S26" s="138">
        <f>IF(NOT(Q26="Pick Type"),VLOOKUP(Q26,'LCA Data'!$C$8:$S$107,6,FALSE)*Lists!R26,0)</f>
        <v>0</v>
      </c>
      <c r="T26" s="139">
        <f>IF(NOT(Q26="Pick Type"),VLOOKUP(Q26,'LCA Data'!$C$8:$S$107,10,FALSE)*Lists!R26,0)</f>
        <v>0</v>
      </c>
      <c r="U26" s="140">
        <f>IF(NOT(Q26="Pick Type"),VLOOKUP(Q26,'LCA Data'!$C$8:$S$107,14,FALSE)*Lists!R26,0)</f>
        <v>0</v>
      </c>
      <c r="V26" s="141">
        <f t="shared" si="2"/>
        <v>0</v>
      </c>
      <c r="W26" s="138">
        <f>IF(NOT(Q26="Pick Type"),VLOOKUP(Q26,'LCA Data'!$C$8:$S$107,7,FALSE)*Lists!R26,0)</f>
        <v>0</v>
      </c>
      <c r="X26" s="139">
        <f>IF(NOT(Q26="Pick Type"),VLOOKUP(Q26,'LCA Data'!$C$8:$S$107,11,FALSE)*Lists!R26,0)</f>
        <v>0</v>
      </c>
      <c r="Y26" s="140">
        <f>IF(NOT(Q26="Pick Type"),VLOOKUP(Q26,'LCA Data'!$C$8:$S$107,15,FALSE)*Lists!R26,0)</f>
        <v>0</v>
      </c>
      <c r="Z26" s="141">
        <f t="shared" si="3"/>
        <v>0</v>
      </c>
      <c r="AA26" s="138">
        <f>IF(NOT(Q26="Pick Type"),VLOOKUP(Q26,'LCA Data'!$C$8:$S$107,8,FALSE)*Lists!R26,0)</f>
        <v>0</v>
      </c>
      <c r="AB26" s="139">
        <f>IF(NOT(Q26="Pick Type"),VLOOKUP(Q26,'LCA Data'!$C$8:$S$107,12,FALSE)*Lists!R26,0)</f>
        <v>0</v>
      </c>
      <c r="AC26" s="140">
        <f>IF(NOT(Q26="Pick Type"),VLOOKUP(Q26,'LCA Data'!$C$8:$S$107,16,FALSE)*Lists!R26,0)</f>
        <v>0</v>
      </c>
      <c r="AD26" s="141">
        <f t="shared" si="4"/>
        <v>0</v>
      </c>
      <c r="AE26" s="142">
        <f>IF(NOT(Q26="Pick Type"),VLOOKUP(Q26,'LCA Data'!$C$8:$S$107,9,FALSE)*Lists!R26,0)</f>
        <v>0</v>
      </c>
      <c r="AF26" s="143">
        <f>IF(NOT(Q26="Pick Type"),VLOOKUP(Q26,'LCA Data'!$C$8:$S$107,13,FALSE)*Lists!R26,0)</f>
        <v>0</v>
      </c>
      <c r="AG26" s="144">
        <f>IF(NOT(Q26="Pick Type"),VLOOKUP(Q26,'LCA Data'!$C$8:$S$107,17,FALSE)*Lists!R26,0)</f>
        <v>0</v>
      </c>
      <c r="AH26" s="145">
        <f t="shared" si="5"/>
        <v>0</v>
      </c>
      <c r="AI26" s="134" t="str">
        <f t="shared" si="6"/>
        <v>#N/A</v>
      </c>
      <c r="AJ26" s="134"/>
      <c r="AK26" s="146" t="s">
        <v>314</v>
      </c>
      <c r="AL26" s="137">
        <f t="shared" si="7"/>
        <v>0</v>
      </c>
      <c r="AM26" s="134">
        <f t="shared" si="8"/>
        <v>0</v>
      </c>
      <c r="AN26" s="134">
        <f t="shared" si="9"/>
        <v>0</v>
      </c>
      <c r="AO26" s="134">
        <f t="shared" si="10"/>
        <v>0</v>
      </c>
      <c r="AP26" s="134">
        <f t="shared" si="11"/>
        <v>0</v>
      </c>
      <c r="AQ26" s="134">
        <f t="shared" si="12"/>
        <v>0</v>
      </c>
      <c r="AR26" s="134">
        <f t="shared" si="13"/>
        <v>0</v>
      </c>
      <c r="AS26" s="134">
        <f t="shared" si="14"/>
        <v>0</v>
      </c>
      <c r="AT26" s="134">
        <f t="shared" si="15"/>
        <v>0</v>
      </c>
      <c r="AU26" s="134">
        <f t="shared" si="16"/>
        <v>0</v>
      </c>
      <c r="AV26" s="134">
        <f t="shared" si="17"/>
        <v>0</v>
      </c>
      <c r="AW26" s="134">
        <f t="shared" si="18"/>
        <v>0</v>
      </c>
      <c r="AX26" s="134">
        <f t="shared" si="19"/>
        <v>0</v>
      </c>
      <c r="AY26" s="134">
        <f t="shared" si="20"/>
        <v>0</v>
      </c>
      <c r="AZ26" s="134">
        <f t="shared" si="21"/>
        <v>0</v>
      </c>
      <c r="BA26" s="134">
        <f t="shared" si="22"/>
        <v>0</v>
      </c>
      <c r="BB26" s="134">
        <f t="shared" si="23"/>
        <v>0</v>
      </c>
      <c r="BC26" s="134">
        <f t="shared" si="24"/>
        <v>0</v>
      </c>
      <c r="BD26" s="134">
        <f t="shared" si="25"/>
        <v>0</v>
      </c>
      <c r="BE26" s="134">
        <f t="shared" si="26"/>
        <v>0</v>
      </c>
      <c r="BF26" s="134">
        <f t="shared" si="27"/>
        <v>0</v>
      </c>
      <c r="BG26" s="134">
        <f t="shared" si="28"/>
        <v>0</v>
      </c>
      <c r="BH26" s="134">
        <f t="shared" si="29"/>
        <v>0</v>
      </c>
      <c r="BI26" s="134">
        <f t="shared" si="30"/>
        <v>0</v>
      </c>
      <c r="BJ26" s="134">
        <f t="shared" si="31"/>
        <v>0</v>
      </c>
      <c r="BK26" s="134">
        <f t="shared" si="32"/>
        <v>0</v>
      </c>
      <c r="BL26" s="134">
        <f t="shared" si="33"/>
        <v>0</v>
      </c>
      <c r="BM26" s="134">
        <f t="shared" si="34"/>
        <v>0</v>
      </c>
      <c r="BN26" s="134">
        <f t="shared" si="35"/>
        <v>0</v>
      </c>
      <c r="BO26" s="134">
        <f t="shared" si="36"/>
        <v>0</v>
      </c>
      <c r="BP26" s="134">
        <f t="shared" si="37"/>
        <v>0</v>
      </c>
      <c r="BQ26" s="134">
        <f t="shared" si="38"/>
        <v>0</v>
      </c>
      <c r="BR26" s="134">
        <f t="shared" si="39"/>
        <v>0</v>
      </c>
      <c r="BS26" s="134">
        <f t="shared" si="40"/>
        <v>0</v>
      </c>
      <c r="BT26" s="134">
        <f t="shared" si="41"/>
        <v>0</v>
      </c>
      <c r="BU26" s="134">
        <f t="shared" si="42"/>
        <v>0</v>
      </c>
      <c r="BV26" s="134">
        <f t="shared" si="43"/>
        <v>0</v>
      </c>
      <c r="BW26" s="134">
        <f t="shared" si="44"/>
        <v>0</v>
      </c>
      <c r="BX26" s="134">
        <f t="shared" si="45"/>
        <v>0</v>
      </c>
      <c r="BY26" s="134">
        <f t="shared" si="46"/>
        <v>0</v>
      </c>
      <c r="BZ26" s="134">
        <f t="shared" si="47"/>
        <v>0</v>
      </c>
      <c r="CA26" s="134">
        <f t="shared" si="48"/>
        <v>0</v>
      </c>
      <c r="CB26" s="134">
        <f t="shared" si="49"/>
        <v>0</v>
      </c>
      <c r="CC26" s="134">
        <f t="shared" si="50"/>
        <v>0</v>
      </c>
      <c r="CD26" s="134">
        <f t="shared" si="51"/>
        <v>0</v>
      </c>
      <c r="CE26" s="134">
        <f t="shared" si="52"/>
        <v>0</v>
      </c>
      <c r="CF26" s="134">
        <f t="shared" si="53"/>
        <v>0</v>
      </c>
      <c r="CG26" s="134">
        <f t="shared" si="54"/>
        <v>0</v>
      </c>
      <c r="CH26" s="134">
        <f t="shared" si="55"/>
        <v>0</v>
      </c>
      <c r="CI26" s="134">
        <f t="shared" si="56"/>
        <v>0</v>
      </c>
      <c r="CJ26" s="134">
        <f t="shared" si="57"/>
        <v>0</v>
      </c>
      <c r="CK26" s="134"/>
    </row>
    <row r="27" ht="9.7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 t="str">
        <f>'Construction and Materials'!B41</f>
        <v>Pick Assembly</v>
      </c>
      <c r="Q27" s="134" t="str">
        <f>'Construction and Materials'!C41</f>
        <v>Pick Type</v>
      </c>
      <c r="R27" s="137" t="str">
        <f>'Construction and Materials'!D41</f>
        <v/>
      </c>
      <c r="S27" s="138">
        <f>IF(NOT(Q27="Pick Type"),VLOOKUP(Q27,'LCA Data'!$C$8:$S$107,6,FALSE)*Lists!R27,0)</f>
        <v>0</v>
      </c>
      <c r="T27" s="139">
        <f>IF(NOT(Q27="Pick Type"),VLOOKUP(Q27,'LCA Data'!$C$8:$S$107,10,FALSE)*Lists!R27,0)</f>
        <v>0</v>
      </c>
      <c r="U27" s="140">
        <f>IF(NOT(Q27="Pick Type"),VLOOKUP(Q27,'LCA Data'!$C$8:$S$107,14,FALSE)*Lists!R27,0)</f>
        <v>0</v>
      </c>
      <c r="V27" s="141">
        <f t="shared" si="2"/>
        <v>0</v>
      </c>
      <c r="W27" s="138">
        <f>IF(NOT(Q27="Pick Type"),VLOOKUP(Q27,'LCA Data'!$C$8:$S$107,7,FALSE)*Lists!R27,0)</f>
        <v>0</v>
      </c>
      <c r="X27" s="139">
        <f>IF(NOT(Q27="Pick Type"),VLOOKUP(Q27,'LCA Data'!$C$8:$S$107,11,FALSE)*Lists!R27,0)</f>
        <v>0</v>
      </c>
      <c r="Y27" s="140">
        <f>IF(NOT(Q27="Pick Type"),VLOOKUP(Q27,'LCA Data'!$C$8:$S$107,15,FALSE)*Lists!R27,0)</f>
        <v>0</v>
      </c>
      <c r="Z27" s="141">
        <f t="shared" si="3"/>
        <v>0</v>
      </c>
      <c r="AA27" s="138">
        <f>IF(NOT(Q27="Pick Type"),VLOOKUP(Q27,'LCA Data'!$C$8:$S$107,8,FALSE)*Lists!R27,0)</f>
        <v>0</v>
      </c>
      <c r="AB27" s="139">
        <f>IF(NOT(Q27="Pick Type"),VLOOKUP(Q27,'LCA Data'!$C$8:$S$107,12,FALSE)*Lists!R27,0)</f>
        <v>0</v>
      </c>
      <c r="AC27" s="140">
        <f>IF(NOT(Q27="Pick Type"),VLOOKUP(Q27,'LCA Data'!$C$8:$S$107,16,FALSE)*Lists!R27,0)</f>
        <v>0</v>
      </c>
      <c r="AD27" s="141">
        <f t="shared" si="4"/>
        <v>0</v>
      </c>
      <c r="AE27" s="142">
        <f>IF(NOT(Q27="Pick Type"),VLOOKUP(Q27,'LCA Data'!$C$8:$S$107,9,FALSE)*Lists!R27,0)</f>
        <v>0</v>
      </c>
      <c r="AF27" s="143">
        <f>IF(NOT(Q27="Pick Type"),VLOOKUP(Q27,'LCA Data'!$C$8:$S$107,13,FALSE)*Lists!R27,0)</f>
        <v>0</v>
      </c>
      <c r="AG27" s="144">
        <f>IF(NOT(Q27="Pick Type"),VLOOKUP(Q27,'LCA Data'!$C$8:$S$107,17,FALSE)*Lists!R27,0)</f>
        <v>0</v>
      </c>
      <c r="AH27" s="145">
        <f t="shared" si="5"/>
        <v>0</v>
      </c>
      <c r="AI27" s="134" t="str">
        <f t="shared" si="6"/>
        <v>#N/A</v>
      </c>
      <c r="AJ27" s="134"/>
      <c r="AK27" s="146" t="s">
        <v>314</v>
      </c>
      <c r="AL27" s="137">
        <f t="shared" si="7"/>
        <v>0</v>
      </c>
      <c r="AM27" s="134">
        <f t="shared" si="8"/>
        <v>0</v>
      </c>
      <c r="AN27" s="134">
        <f t="shared" si="9"/>
        <v>0</v>
      </c>
      <c r="AO27" s="134">
        <f t="shared" si="10"/>
        <v>0</v>
      </c>
      <c r="AP27" s="134">
        <f t="shared" si="11"/>
        <v>0</v>
      </c>
      <c r="AQ27" s="134">
        <f t="shared" si="12"/>
        <v>0</v>
      </c>
      <c r="AR27" s="134">
        <f t="shared" si="13"/>
        <v>0</v>
      </c>
      <c r="AS27" s="134">
        <f t="shared" si="14"/>
        <v>0</v>
      </c>
      <c r="AT27" s="134">
        <f t="shared" si="15"/>
        <v>0</v>
      </c>
      <c r="AU27" s="134">
        <f t="shared" si="16"/>
        <v>0</v>
      </c>
      <c r="AV27" s="134">
        <f t="shared" si="17"/>
        <v>0</v>
      </c>
      <c r="AW27" s="134">
        <f t="shared" si="18"/>
        <v>0</v>
      </c>
      <c r="AX27" s="134">
        <f t="shared" si="19"/>
        <v>0</v>
      </c>
      <c r="AY27" s="134">
        <f t="shared" si="20"/>
        <v>0</v>
      </c>
      <c r="AZ27" s="134">
        <f t="shared" si="21"/>
        <v>0</v>
      </c>
      <c r="BA27" s="134">
        <f t="shared" si="22"/>
        <v>0</v>
      </c>
      <c r="BB27" s="134">
        <f t="shared" si="23"/>
        <v>0</v>
      </c>
      <c r="BC27" s="134">
        <f t="shared" si="24"/>
        <v>0</v>
      </c>
      <c r="BD27" s="134">
        <f t="shared" si="25"/>
        <v>0</v>
      </c>
      <c r="BE27" s="134">
        <f t="shared" si="26"/>
        <v>0</v>
      </c>
      <c r="BF27" s="134">
        <f t="shared" si="27"/>
        <v>0</v>
      </c>
      <c r="BG27" s="134">
        <f t="shared" si="28"/>
        <v>0</v>
      </c>
      <c r="BH27" s="134">
        <f t="shared" si="29"/>
        <v>0</v>
      </c>
      <c r="BI27" s="134">
        <f t="shared" si="30"/>
        <v>0</v>
      </c>
      <c r="BJ27" s="134">
        <f t="shared" si="31"/>
        <v>0</v>
      </c>
      <c r="BK27" s="134">
        <f t="shared" si="32"/>
        <v>0</v>
      </c>
      <c r="BL27" s="134">
        <f t="shared" si="33"/>
        <v>0</v>
      </c>
      <c r="BM27" s="134">
        <f t="shared" si="34"/>
        <v>0</v>
      </c>
      <c r="BN27" s="134">
        <f t="shared" si="35"/>
        <v>0</v>
      </c>
      <c r="BO27" s="134">
        <f t="shared" si="36"/>
        <v>0</v>
      </c>
      <c r="BP27" s="134">
        <f t="shared" si="37"/>
        <v>0</v>
      </c>
      <c r="BQ27" s="134">
        <f t="shared" si="38"/>
        <v>0</v>
      </c>
      <c r="BR27" s="134">
        <f t="shared" si="39"/>
        <v>0</v>
      </c>
      <c r="BS27" s="134">
        <f t="shared" si="40"/>
        <v>0</v>
      </c>
      <c r="BT27" s="134">
        <f t="shared" si="41"/>
        <v>0</v>
      </c>
      <c r="BU27" s="134">
        <f t="shared" si="42"/>
        <v>0</v>
      </c>
      <c r="BV27" s="134">
        <f t="shared" si="43"/>
        <v>0</v>
      </c>
      <c r="BW27" s="134">
        <f t="shared" si="44"/>
        <v>0</v>
      </c>
      <c r="BX27" s="134">
        <f t="shared" si="45"/>
        <v>0</v>
      </c>
      <c r="BY27" s="134">
        <f t="shared" si="46"/>
        <v>0</v>
      </c>
      <c r="BZ27" s="134">
        <f t="shared" si="47"/>
        <v>0</v>
      </c>
      <c r="CA27" s="134">
        <f t="shared" si="48"/>
        <v>0</v>
      </c>
      <c r="CB27" s="134">
        <f t="shared" si="49"/>
        <v>0</v>
      </c>
      <c r="CC27" s="134">
        <f t="shared" si="50"/>
        <v>0</v>
      </c>
      <c r="CD27" s="134">
        <f t="shared" si="51"/>
        <v>0</v>
      </c>
      <c r="CE27" s="134">
        <f t="shared" si="52"/>
        <v>0</v>
      </c>
      <c r="CF27" s="134">
        <f t="shared" si="53"/>
        <v>0</v>
      </c>
      <c r="CG27" s="134">
        <f t="shared" si="54"/>
        <v>0</v>
      </c>
      <c r="CH27" s="134">
        <f t="shared" si="55"/>
        <v>0</v>
      </c>
      <c r="CI27" s="134">
        <f t="shared" si="56"/>
        <v>0</v>
      </c>
      <c r="CJ27" s="134">
        <f t="shared" si="57"/>
        <v>0</v>
      </c>
      <c r="CK27" s="134"/>
    </row>
    <row r="28" ht="9.7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 t="str">
        <f>'Construction and Materials'!B42</f>
        <v>Pick Assembly</v>
      </c>
      <c r="Q28" s="134" t="str">
        <f>'Construction and Materials'!C42</f>
        <v>Pick Type</v>
      </c>
      <c r="R28" s="137" t="str">
        <f>'Construction and Materials'!D42</f>
        <v/>
      </c>
      <c r="S28" s="138">
        <f>IF(NOT(Q28="Pick Type"),VLOOKUP(Q28,'LCA Data'!$C$8:$S$107,6,FALSE)*Lists!R28,0)</f>
        <v>0</v>
      </c>
      <c r="T28" s="139">
        <f>IF(NOT(Q28="Pick Type"),VLOOKUP(Q28,'LCA Data'!$C$8:$S$107,10,FALSE)*Lists!R28,0)</f>
        <v>0</v>
      </c>
      <c r="U28" s="140">
        <f>IF(NOT(Q28="Pick Type"),VLOOKUP(Q28,'LCA Data'!$C$8:$S$107,14,FALSE)*Lists!R28,0)</f>
        <v>0</v>
      </c>
      <c r="V28" s="141">
        <f t="shared" si="2"/>
        <v>0</v>
      </c>
      <c r="W28" s="138">
        <f>IF(NOT(Q28="Pick Type"),VLOOKUP(Q28,'LCA Data'!$C$8:$S$107,7,FALSE)*Lists!R28,0)</f>
        <v>0</v>
      </c>
      <c r="X28" s="139">
        <f>IF(NOT(Q28="Pick Type"),VLOOKUP(Q28,'LCA Data'!$C$8:$S$107,11,FALSE)*Lists!R28,0)</f>
        <v>0</v>
      </c>
      <c r="Y28" s="140">
        <f>IF(NOT(Q28="Pick Type"),VLOOKUP(Q28,'LCA Data'!$C$8:$S$107,15,FALSE)*Lists!R28,0)</f>
        <v>0</v>
      </c>
      <c r="Z28" s="141">
        <f t="shared" si="3"/>
        <v>0</v>
      </c>
      <c r="AA28" s="138">
        <f>IF(NOT(Q28="Pick Type"),VLOOKUP(Q28,'LCA Data'!$C$8:$S$107,8,FALSE)*Lists!R28,0)</f>
        <v>0</v>
      </c>
      <c r="AB28" s="139">
        <f>IF(NOT(Q28="Pick Type"),VLOOKUP(Q28,'LCA Data'!$C$8:$S$107,12,FALSE)*Lists!R28,0)</f>
        <v>0</v>
      </c>
      <c r="AC28" s="140">
        <f>IF(NOT(Q28="Pick Type"),VLOOKUP(Q28,'LCA Data'!$C$8:$S$107,16,FALSE)*Lists!R28,0)</f>
        <v>0</v>
      </c>
      <c r="AD28" s="141">
        <f t="shared" si="4"/>
        <v>0</v>
      </c>
      <c r="AE28" s="142">
        <f>IF(NOT(Q28="Pick Type"),VLOOKUP(Q28,'LCA Data'!$C$8:$S$107,9,FALSE)*Lists!R28,0)</f>
        <v>0</v>
      </c>
      <c r="AF28" s="143">
        <f>IF(NOT(Q28="Pick Type"),VLOOKUP(Q28,'LCA Data'!$C$8:$S$107,13,FALSE)*Lists!R28,0)</f>
        <v>0</v>
      </c>
      <c r="AG28" s="144">
        <f>IF(NOT(Q28="Pick Type"),VLOOKUP(Q28,'LCA Data'!$C$8:$S$107,17,FALSE)*Lists!R28,0)</f>
        <v>0</v>
      </c>
      <c r="AH28" s="145">
        <f t="shared" si="5"/>
        <v>0</v>
      </c>
      <c r="AI28" s="134" t="str">
        <f t="shared" si="6"/>
        <v>#N/A</v>
      </c>
      <c r="AJ28" s="134"/>
      <c r="AK28" s="146" t="s">
        <v>314</v>
      </c>
      <c r="AL28" s="137">
        <f t="shared" si="7"/>
        <v>0</v>
      </c>
      <c r="AM28" s="134">
        <f t="shared" si="8"/>
        <v>0</v>
      </c>
      <c r="AN28" s="134">
        <f t="shared" si="9"/>
        <v>0</v>
      </c>
      <c r="AO28" s="134">
        <f t="shared" si="10"/>
        <v>0</v>
      </c>
      <c r="AP28" s="134">
        <f t="shared" si="11"/>
        <v>0</v>
      </c>
      <c r="AQ28" s="134">
        <f t="shared" si="12"/>
        <v>0</v>
      </c>
      <c r="AR28" s="134">
        <f t="shared" si="13"/>
        <v>0</v>
      </c>
      <c r="AS28" s="134">
        <f t="shared" si="14"/>
        <v>0</v>
      </c>
      <c r="AT28" s="134">
        <f t="shared" si="15"/>
        <v>0</v>
      </c>
      <c r="AU28" s="134">
        <f t="shared" si="16"/>
        <v>0</v>
      </c>
      <c r="AV28" s="134">
        <f t="shared" si="17"/>
        <v>0</v>
      </c>
      <c r="AW28" s="134">
        <f t="shared" si="18"/>
        <v>0</v>
      </c>
      <c r="AX28" s="134">
        <f t="shared" si="19"/>
        <v>0</v>
      </c>
      <c r="AY28" s="134">
        <f t="shared" si="20"/>
        <v>0</v>
      </c>
      <c r="AZ28" s="134">
        <f t="shared" si="21"/>
        <v>0</v>
      </c>
      <c r="BA28" s="134">
        <f t="shared" si="22"/>
        <v>0</v>
      </c>
      <c r="BB28" s="134">
        <f t="shared" si="23"/>
        <v>0</v>
      </c>
      <c r="BC28" s="134">
        <f t="shared" si="24"/>
        <v>0</v>
      </c>
      <c r="BD28" s="134">
        <f t="shared" si="25"/>
        <v>0</v>
      </c>
      <c r="BE28" s="134">
        <f t="shared" si="26"/>
        <v>0</v>
      </c>
      <c r="BF28" s="134">
        <f t="shared" si="27"/>
        <v>0</v>
      </c>
      <c r="BG28" s="134">
        <f t="shared" si="28"/>
        <v>0</v>
      </c>
      <c r="BH28" s="134">
        <f t="shared" si="29"/>
        <v>0</v>
      </c>
      <c r="BI28" s="134">
        <f t="shared" si="30"/>
        <v>0</v>
      </c>
      <c r="BJ28" s="134">
        <f t="shared" si="31"/>
        <v>0</v>
      </c>
      <c r="BK28" s="134">
        <f t="shared" si="32"/>
        <v>0</v>
      </c>
      <c r="BL28" s="134">
        <f t="shared" si="33"/>
        <v>0</v>
      </c>
      <c r="BM28" s="134">
        <f t="shared" si="34"/>
        <v>0</v>
      </c>
      <c r="BN28" s="134">
        <f t="shared" si="35"/>
        <v>0</v>
      </c>
      <c r="BO28" s="134">
        <f t="shared" si="36"/>
        <v>0</v>
      </c>
      <c r="BP28" s="134">
        <f t="shared" si="37"/>
        <v>0</v>
      </c>
      <c r="BQ28" s="134">
        <f t="shared" si="38"/>
        <v>0</v>
      </c>
      <c r="BR28" s="134">
        <f t="shared" si="39"/>
        <v>0</v>
      </c>
      <c r="BS28" s="134">
        <f t="shared" si="40"/>
        <v>0</v>
      </c>
      <c r="BT28" s="134">
        <f t="shared" si="41"/>
        <v>0</v>
      </c>
      <c r="BU28" s="134">
        <f t="shared" si="42"/>
        <v>0</v>
      </c>
      <c r="BV28" s="134">
        <f t="shared" si="43"/>
        <v>0</v>
      </c>
      <c r="BW28" s="134">
        <f t="shared" si="44"/>
        <v>0</v>
      </c>
      <c r="BX28" s="134">
        <f t="shared" si="45"/>
        <v>0</v>
      </c>
      <c r="BY28" s="134">
        <f t="shared" si="46"/>
        <v>0</v>
      </c>
      <c r="BZ28" s="134">
        <f t="shared" si="47"/>
        <v>0</v>
      </c>
      <c r="CA28" s="134">
        <f t="shared" si="48"/>
        <v>0</v>
      </c>
      <c r="CB28" s="134">
        <f t="shared" si="49"/>
        <v>0</v>
      </c>
      <c r="CC28" s="134">
        <f t="shared" si="50"/>
        <v>0</v>
      </c>
      <c r="CD28" s="134">
        <f t="shared" si="51"/>
        <v>0</v>
      </c>
      <c r="CE28" s="134">
        <f t="shared" si="52"/>
        <v>0</v>
      </c>
      <c r="CF28" s="134">
        <f t="shared" si="53"/>
        <v>0</v>
      </c>
      <c r="CG28" s="134">
        <f t="shared" si="54"/>
        <v>0</v>
      </c>
      <c r="CH28" s="134">
        <f t="shared" si="55"/>
        <v>0</v>
      </c>
      <c r="CI28" s="134">
        <f t="shared" si="56"/>
        <v>0</v>
      </c>
      <c r="CJ28" s="134">
        <f t="shared" si="57"/>
        <v>0</v>
      </c>
      <c r="CK28" s="134"/>
    </row>
    <row r="29" ht="9.75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 t="str">
        <f>'Construction and Materials'!B43</f>
        <v>Pick Assembly</v>
      </c>
      <c r="Q29" s="134" t="str">
        <f>'Construction and Materials'!C43</f>
        <v>Pick Type</v>
      </c>
      <c r="R29" s="137" t="str">
        <f>'Construction and Materials'!D43</f>
        <v/>
      </c>
      <c r="S29" s="138">
        <f>IF(NOT(Q29="Pick Type"),VLOOKUP(Q29,'LCA Data'!$C$8:$S$107,6,FALSE)*Lists!R29,0)</f>
        <v>0</v>
      </c>
      <c r="T29" s="139">
        <f>IF(NOT(Q29="Pick Type"),VLOOKUP(Q29,'LCA Data'!$C$8:$S$107,10,FALSE)*Lists!R29,0)</f>
        <v>0</v>
      </c>
      <c r="U29" s="140">
        <f>IF(NOT(Q29="Pick Type"),VLOOKUP(Q29,'LCA Data'!$C$8:$S$107,14,FALSE)*Lists!R29,0)</f>
        <v>0</v>
      </c>
      <c r="V29" s="141">
        <f t="shared" si="2"/>
        <v>0</v>
      </c>
      <c r="W29" s="138">
        <f>IF(NOT(Q29="Pick Type"),VLOOKUP(Q29,'LCA Data'!$C$8:$S$107,7,FALSE)*Lists!R29,0)</f>
        <v>0</v>
      </c>
      <c r="X29" s="139">
        <f>IF(NOT(Q29="Pick Type"),VLOOKUP(Q29,'LCA Data'!$C$8:$S$107,11,FALSE)*Lists!R29,0)</f>
        <v>0</v>
      </c>
      <c r="Y29" s="140">
        <f>IF(NOT(Q29="Pick Type"),VLOOKUP(Q29,'LCA Data'!$C$8:$S$107,15,FALSE)*Lists!R29,0)</f>
        <v>0</v>
      </c>
      <c r="Z29" s="141">
        <f t="shared" si="3"/>
        <v>0</v>
      </c>
      <c r="AA29" s="138">
        <f>IF(NOT(Q29="Pick Type"),VLOOKUP(Q29,'LCA Data'!$C$8:$S$107,8,FALSE)*Lists!R29,0)</f>
        <v>0</v>
      </c>
      <c r="AB29" s="139">
        <f>IF(NOT(Q29="Pick Type"),VLOOKUP(Q29,'LCA Data'!$C$8:$S$107,12,FALSE)*Lists!R29,0)</f>
        <v>0</v>
      </c>
      <c r="AC29" s="140">
        <f>IF(NOT(Q29="Pick Type"),VLOOKUP(Q29,'LCA Data'!$C$8:$S$107,16,FALSE)*Lists!R29,0)</f>
        <v>0</v>
      </c>
      <c r="AD29" s="141">
        <f t="shared" si="4"/>
        <v>0</v>
      </c>
      <c r="AE29" s="142">
        <f>IF(NOT(Q29="Pick Type"),VLOOKUP(Q29,'LCA Data'!$C$8:$S$107,9,FALSE)*Lists!R29,0)</f>
        <v>0</v>
      </c>
      <c r="AF29" s="143">
        <f>IF(NOT(Q29="Pick Type"),VLOOKUP(Q29,'LCA Data'!$C$8:$S$107,13,FALSE)*Lists!R29,0)</f>
        <v>0</v>
      </c>
      <c r="AG29" s="144">
        <f>IF(NOT(Q29="Pick Type"),VLOOKUP(Q29,'LCA Data'!$C$8:$S$107,17,FALSE)*Lists!R29,0)</f>
        <v>0</v>
      </c>
      <c r="AH29" s="145">
        <f t="shared" si="5"/>
        <v>0</v>
      </c>
      <c r="AI29" s="134" t="str">
        <f t="shared" si="6"/>
        <v>#N/A</v>
      </c>
      <c r="AJ29" s="134"/>
      <c r="AK29" s="146" t="s">
        <v>314</v>
      </c>
      <c r="AL29" s="137">
        <f t="shared" si="7"/>
        <v>0</v>
      </c>
      <c r="AM29" s="134">
        <f t="shared" si="8"/>
        <v>0</v>
      </c>
      <c r="AN29" s="134">
        <f t="shared" si="9"/>
        <v>0</v>
      </c>
      <c r="AO29" s="134">
        <f t="shared" si="10"/>
        <v>0</v>
      </c>
      <c r="AP29" s="134">
        <f t="shared" si="11"/>
        <v>0</v>
      </c>
      <c r="AQ29" s="134">
        <f t="shared" si="12"/>
        <v>0</v>
      </c>
      <c r="AR29" s="134">
        <f t="shared" si="13"/>
        <v>0</v>
      </c>
      <c r="AS29" s="134">
        <f t="shared" si="14"/>
        <v>0</v>
      </c>
      <c r="AT29" s="134">
        <f t="shared" si="15"/>
        <v>0</v>
      </c>
      <c r="AU29" s="134">
        <f t="shared" si="16"/>
        <v>0</v>
      </c>
      <c r="AV29" s="134">
        <f t="shared" si="17"/>
        <v>0</v>
      </c>
      <c r="AW29" s="134">
        <f t="shared" si="18"/>
        <v>0</v>
      </c>
      <c r="AX29" s="134">
        <f t="shared" si="19"/>
        <v>0</v>
      </c>
      <c r="AY29" s="134">
        <f t="shared" si="20"/>
        <v>0</v>
      </c>
      <c r="AZ29" s="134">
        <f t="shared" si="21"/>
        <v>0</v>
      </c>
      <c r="BA29" s="134">
        <f t="shared" si="22"/>
        <v>0</v>
      </c>
      <c r="BB29" s="134">
        <f t="shared" si="23"/>
        <v>0</v>
      </c>
      <c r="BC29" s="134">
        <f t="shared" si="24"/>
        <v>0</v>
      </c>
      <c r="BD29" s="134">
        <f t="shared" si="25"/>
        <v>0</v>
      </c>
      <c r="BE29" s="134">
        <f t="shared" si="26"/>
        <v>0</v>
      </c>
      <c r="BF29" s="134">
        <f t="shared" si="27"/>
        <v>0</v>
      </c>
      <c r="BG29" s="134">
        <f t="shared" si="28"/>
        <v>0</v>
      </c>
      <c r="BH29" s="134">
        <f t="shared" si="29"/>
        <v>0</v>
      </c>
      <c r="BI29" s="134">
        <f t="shared" si="30"/>
        <v>0</v>
      </c>
      <c r="BJ29" s="134">
        <f t="shared" si="31"/>
        <v>0</v>
      </c>
      <c r="BK29" s="134">
        <f t="shared" si="32"/>
        <v>0</v>
      </c>
      <c r="BL29" s="134">
        <f t="shared" si="33"/>
        <v>0</v>
      </c>
      <c r="BM29" s="134">
        <f t="shared" si="34"/>
        <v>0</v>
      </c>
      <c r="BN29" s="134">
        <f t="shared" si="35"/>
        <v>0</v>
      </c>
      <c r="BO29" s="134">
        <f t="shared" si="36"/>
        <v>0</v>
      </c>
      <c r="BP29" s="134">
        <f t="shared" si="37"/>
        <v>0</v>
      </c>
      <c r="BQ29" s="134">
        <f t="shared" si="38"/>
        <v>0</v>
      </c>
      <c r="BR29" s="134">
        <f t="shared" si="39"/>
        <v>0</v>
      </c>
      <c r="BS29" s="134">
        <f t="shared" si="40"/>
        <v>0</v>
      </c>
      <c r="BT29" s="134">
        <f t="shared" si="41"/>
        <v>0</v>
      </c>
      <c r="BU29" s="134">
        <f t="shared" si="42"/>
        <v>0</v>
      </c>
      <c r="BV29" s="134">
        <f t="shared" si="43"/>
        <v>0</v>
      </c>
      <c r="BW29" s="134">
        <f t="shared" si="44"/>
        <v>0</v>
      </c>
      <c r="BX29" s="134">
        <f t="shared" si="45"/>
        <v>0</v>
      </c>
      <c r="BY29" s="134">
        <f t="shared" si="46"/>
        <v>0</v>
      </c>
      <c r="BZ29" s="134">
        <f t="shared" si="47"/>
        <v>0</v>
      </c>
      <c r="CA29" s="134">
        <f t="shared" si="48"/>
        <v>0</v>
      </c>
      <c r="CB29" s="134">
        <f t="shared" si="49"/>
        <v>0</v>
      </c>
      <c r="CC29" s="134">
        <f t="shared" si="50"/>
        <v>0</v>
      </c>
      <c r="CD29" s="134">
        <f t="shared" si="51"/>
        <v>0</v>
      </c>
      <c r="CE29" s="134">
        <f t="shared" si="52"/>
        <v>0</v>
      </c>
      <c r="CF29" s="134">
        <f t="shared" si="53"/>
        <v>0</v>
      </c>
      <c r="CG29" s="134">
        <f t="shared" si="54"/>
        <v>0</v>
      </c>
      <c r="CH29" s="134">
        <f t="shared" si="55"/>
        <v>0</v>
      </c>
      <c r="CI29" s="134">
        <f t="shared" si="56"/>
        <v>0</v>
      </c>
      <c r="CJ29" s="134">
        <f t="shared" si="57"/>
        <v>0</v>
      </c>
      <c r="CK29" s="134"/>
    </row>
    <row r="30" ht="9.75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 t="str">
        <f>'Construction and Materials'!B44</f>
        <v>Pick Assembly</v>
      </c>
      <c r="Q30" s="134" t="str">
        <f>'Construction and Materials'!C44</f>
        <v>Pick Type</v>
      </c>
      <c r="R30" s="137" t="str">
        <f>'Construction and Materials'!D44</f>
        <v/>
      </c>
      <c r="S30" s="138">
        <f>IF(NOT(Q30="Pick Type"),VLOOKUP(Q30,'LCA Data'!$C$8:$S$107,6,FALSE)*Lists!R30,0)</f>
        <v>0</v>
      </c>
      <c r="T30" s="139">
        <f>IF(NOT(Q30="Pick Type"),VLOOKUP(Q30,'LCA Data'!$C$8:$S$107,10,FALSE)*Lists!R30,0)</f>
        <v>0</v>
      </c>
      <c r="U30" s="140">
        <f>IF(NOT(Q30="Pick Type"),VLOOKUP(Q30,'LCA Data'!$C$8:$S$107,14,FALSE)*Lists!R30,0)</f>
        <v>0</v>
      </c>
      <c r="V30" s="141">
        <f t="shared" si="2"/>
        <v>0</v>
      </c>
      <c r="W30" s="138">
        <f>IF(NOT(Q30="Pick Type"),VLOOKUP(Q30,'LCA Data'!$C$8:$S$107,7,FALSE)*Lists!R30,0)</f>
        <v>0</v>
      </c>
      <c r="X30" s="139">
        <f>IF(NOT(Q30="Pick Type"),VLOOKUP(Q30,'LCA Data'!$C$8:$S$107,11,FALSE)*Lists!R30,0)</f>
        <v>0</v>
      </c>
      <c r="Y30" s="140">
        <f>IF(NOT(Q30="Pick Type"),VLOOKUP(Q30,'LCA Data'!$C$8:$S$107,15,FALSE)*Lists!R30,0)</f>
        <v>0</v>
      </c>
      <c r="Z30" s="141">
        <f t="shared" si="3"/>
        <v>0</v>
      </c>
      <c r="AA30" s="138">
        <f>IF(NOT(Q30="Pick Type"),VLOOKUP(Q30,'LCA Data'!$C$8:$S$107,8,FALSE)*Lists!R30,0)</f>
        <v>0</v>
      </c>
      <c r="AB30" s="139">
        <f>IF(NOT(Q30="Pick Type"),VLOOKUP(Q30,'LCA Data'!$C$8:$S$107,12,FALSE)*Lists!R30,0)</f>
        <v>0</v>
      </c>
      <c r="AC30" s="140">
        <f>IF(NOT(Q30="Pick Type"),VLOOKUP(Q30,'LCA Data'!$C$8:$S$107,16,FALSE)*Lists!R30,0)</f>
        <v>0</v>
      </c>
      <c r="AD30" s="141">
        <f t="shared" si="4"/>
        <v>0</v>
      </c>
      <c r="AE30" s="142">
        <f>IF(NOT(Q30="Pick Type"),VLOOKUP(Q30,'LCA Data'!$C$8:$S$107,9,FALSE)*Lists!R30,0)</f>
        <v>0</v>
      </c>
      <c r="AF30" s="143">
        <f>IF(NOT(Q30="Pick Type"),VLOOKUP(Q30,'LCA Data'!$C$8:$S$107,13,FALSE)*Lists!R30,0)</f>
        <v>0</v>
      </c>
      <c r="AG30" s="144">
        <f>IF(NOT(Q30="Pick Type"),VLOOKUP(Q30,'LCA Data'!$C$8:$S$107,17,FALSE)*Lists!R30,0)</f>
        <v>0</v>
      </c>
      <c r="AH30" s="145">
        <f t="shared" si="5"/>
        <v>0</v>
      </c>
      <c r="AI30" s="134" t="str">
        <f t="shared" si="6"/>
        <v>#N/A</v>
      </c>
      <c r="AJ30" s="134"/>
      <c r="AK30" s="146" t="s">
        <v>314</v>
      </c>
      <c r="AL30" s="137">
        <f t="shared" si="7"/>
        <v>0</v>
      </c>
      <c r="AM30" s="134">
        <f t="shared" si="8"/>
        <v>0</v>
      </c>
      <c r="AN30" s="134">
        <f t="shared" si="9"/>
        <v>0</v>
      </c>
      <c r="AO30" s="134">
        <f t="shared" si="10"/>
        <v>0</v>
      </c>
      <c r="AP30" s="134">
        <f t="shared" si="11"/>
        <v>0</v>
      </c>
      <c r="AQ30" s="134">
        <f t="shared" si="12"/>
        <v>0</v>
      </c>
      <c r="AR30" s="134">
        <f t="shared" si="13"/>
        <v>0</v>
      </c>
      <c r="AS30" s="134">
        <f t="shared" si="14"/>
        <v>0</v>
      </c>
      <c r="AT30" s="134">
        <f t="shared" si="15"/>
        <v>0</v>
      </c>
      <c r="AU30" s="134">
        <f t="shared" si="16"/>
        <v>0</v>
      </c>
      <c r="AV30" s="134">
        <f t="shared" si="17"/>
        <v>0</v>
      </c>
      <c r="AW30" s="134">
        <f t="shared" si="18"/>
        <v>0</v>
      </c>
      <c r="AX30" s="134">
        <f t="shared" si="19"/>
        <v>0</v>
      </c>
      <c r="AY30" s="134">
        <f t="shared" si="20"/>
        <v>0</v>
      </c>
      <c r="AZ30" s="134">
        <f t="shared" si="21"/>
        <v>0</v>
      </c>
      <c r="BA30" s="134">
        <f t="shared" si="22"/>
        <v>0</v>
      </c>
      <c r="BB30" s="134">
        <f t="shared" si="23"/>
        <v>0</v>
      </c>
      <c r="BC30" s="134">
        <f t="shared" si="24"/>
        <v>0</v>
      </c>
      <c r="BD30" s="134">
        <f t="shared" si="25"/>
        <v>0</v>
      </c>
      <c r="BE30" s="134">
        <f t="shared" si="26"/>
        <v>0</v>
      </c>
      <c r="BF30" s="134">
        <f t="shared" si="27"/>
        <v>0</v>
      </c>
      <c r="BG30" s="134">
        <f t="shared" si="28"/>
        <v>0</v>
      </c>
      <c r="BH30" s="134">
        <f t="shared" si="29"/>
        <v>0</v>
      </c>
      <c r="BI30" s="134">
        <f t="shared" si="30"/>
        <v>0</v>
      </c>
      <c r="BJ30" s="134">
        <f t="shared" si="31"/>
        <v>0</v>
      </c>
      <c r="BK30" s="134">
        <f t="shared" si="32"/>
        <v>0</v>
      </c>
      <c r="BL30" s="134">
        <f t="shared" si="33"/>
        <v>0</v>
      </c>
      <c r="BM30" s="134">
        <f t="shared" si="34"/>
        <v>0</v>
      </c>
      <c r="BN30" s="134">
        <f t="shared" si="35"/>
        <v>0</v>
      </c>
      <c r="BO30" s="134">
        <f t="shared" si="36"/>
        <v>0</v>
      </c>
      <c r="BP30" s="134">
        <f t="shared" si="37"/>
        <v>0</v>
      </c>
      <c r="BQ30" s="134">
        <f t="shared" si="38"/>
        <v>0</v>
      </c>
      <c r="BR30" s="134">
        <f t="shared" si="39"/>
        <v>0</v>
      </c>
      <c r="BS30" s="134">
        <f t="shared" si="40"/>
        <v>0</v>
      </c>
      <c r="BT30" s="134">
        <f t="shared" si="41"/>
        <v>0</v>
      </c>
      <c r="BU30" s="134">
        <f t="shared" si="42"/>
        <v>0</v>
      </c>
      <c r="BV30" s="134">
        <f t="shared" si="43"/>
        <v>0</v>
      </c>
      <c r="BW30" s="134">
        <f t="shared" si="44"/>
        <v>0</v>
      </c>
      <c r="BX30" s="134">
        <f t="shared" si="45"/>
        <v>0</v>
      </c>
      <c r="BY30" s="134">
        <f t="shared" si="46"/>
        <v>0</v>
      </c>
      <c r="BZ30" s="134">
        <f t="shared" si="47"/>
        <v>0</v>
      </c>
      <c r="CA30" s="134">
        <f t="shared" si="48"/>
        <v>0</v>
      </c>
      <c r="CB30" s="134">
        <f t="shared" si="49"/>
        <v>0</v>
      </c>
      <c r="CC30" s="134">
        <f t="shared" si="50"/>
        <v>0</v>
      </c>
      <c r="CD30" s="134">
        <f t="shared" si="51"/>
        <v>0</v>
      </c>
      <c r="CE30" s="134">
        <f t="shared" si="52"/>
        <v>0</v>
      </c>
      <c r="CF30" s="134">
        <f t="shared" si="53"/>
        <v>0</v>
      </c>
      <c r="CG30" s="134">
        <f t="shared" si="54"/>
        <v>0</v>
      </c>
      <c r="CH30" s="134">
        <f t="shared" si="55"/>
        <v>0</v>
      </c>
      <c r="CI30" s="134">
        <f t="shared" si="56"/>
        <v>0</v>
      </c>
      <c r="CJ30" s="134">
        <f t="shared" si="57"/>
        <v>0</v>
      </c>
      <c r="CK30" s="134"/>
    </row>
    <row r="31" ht="9.75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 t="str">
        <f>'Construction and Materials'!B45</f>
        <v>Pick Assembly</v>
      </c>
      <c r="Q31" s="134" t="str">
        <f>'Construction and Materials'!C45</f>
        <v>Pick Type</v>
      </c>
      <c r="R31" s="137" t="str">
        <f>'Construction and Materials'!D45</f>
        <v/>
      </c>
      <c r="S31" s="138">
        <f>IF(NOT(Q31="Pick Type"),VLOOKUP(Q31,'LCA Data'!$C$8:$S$107,6,FALSE)*Lists!R31,0)</f>
        <v>0</v>
      </c>
      <c r="T31" s="139">
        <f>IF(NOT(Q31="Pick Type"),VLOOKUP(Q31,'LCA Data'!$C$8:$S$107,10,FALSE)*Lists!R31,0)</f>
        <v>0</v>
      </c>
      <c r="U31" s="140">
        <f>IF(NOT(Q31="Pick Type"),VLOOKUP(Q31,'LCA Data'!$C$8:$S$107,14,FALSE)*Lists!R31,0)</f>
        <v>0</v>
      </c>
      <c r="V31" s="141">
        <f t="shared" si="2"/>
        <v>0</v>
      </c>
      <c r="W31" s="138">
        <f>IF(NOT(Q31="Pick Type"),VLOOKUP(Q31,'LCA Data'!$C$8:$S$107,7,FALSE)*Lists!R31,0)</f>
        <v>0</v>
      </c>
      <c r="X31" s="139">
        <f>IF(NOT(Q31="Pick Type"),VLOOKUP(Q31,'LCA Data'!$C$8:$S$107,11,FALSE)*Lists!R31,0)</f>
        <v>0</v>
      </c>
      <c r="Y31" s="140">
        <f>IF(NOT(Q31="Pick Type"),VLOOKUP(Q31,'LCA Data'!$C$8:$S$107,15,FALSE)*Lists!R31,0)</f>
        <v>0</v>
      </c>
      <c r="Z31" s="141">
        <f t="shared" si="3"/>
        <v>0</v>
      </c>
      <c r="AA31" s="138">
        <f>IF(NOT(Q31="Pick Type"),VLOOKUP(Q31,'LCA Data'!$C$8:$S$107,8,FALSE)*Lists!R31,0)</f>
        <v>0</v>
      </c>
      <c r="AB31" s="139">
        <f>IF(NOT(Q31="Pick Type"),VLOOKUP(Q31,'LCA Data'!$C$8:$S$107,12,FALSE)*Lists!R31,0)</f>
        <v>0</v>
      </c>
      <c r="AC31" s="140">
        <f>IF(NOT(Q31="Pick Type"),VLOOKUP(Q31,'LCA Data'!$C$8:$S$107,16,FALSE)*Lists!R31,0)</f>
        <v>0</v>
      </c>
      <c r="AD31" s="141">
        <f t="shared" si="4"/>
        <v>0</v>
      </c>
      <c r="AE31" s="142">
        <f>IF(NOT(Q31="Pick Type"),VLOOKUP(Q31,'LCA Data'!$C$8:$S$107,9,FALSE)*Lists!R31,0)</f>
        <v>0</v>
      </c>
      <c r="AF31" s="143">
        <f>IF(NOT(Q31="Pick Type"),VLOOKUP(Q31,'LCA Data'!$C$8:$S$107,13,FALSE)*Lists!R31,0)</f>
        <v>0</v>
      </c>
      <c r="AG31" s="144">
        <f>IF(NOT(Q31="Pick Type"),VLOOKUP(Q31,'LCA Data'!$C$8:$S$107,17,FALSE)*Lists!R31,0)</f>
        <v>0</v>
      </c>
      <c r="AH31" s="145">
        <f t="shared" si="5"/>
        <v>0</v>
      </c>
      <c r="AI31" s="134" t="str">
        <f t="shared" si="6"/>
        <v>#N/A</v>
      </c>
      <c r="AJ31" s="134"/>
      <c r="AK31" s="146" t="s">
        <v>314</v>
      </c>
      <c r="AL31" s="137">
        <f t="shared" si="7"/>
        <v>0</v>
      </c>
      <c r="AM31" s="134">
        <f t="shared" si="8"/>
        <v>0</v>
      </c>
      <c r="AN31" s="134">
        <f t="shared" si="9"/>
        <v>0</v>
      </c>
      <c r="AO31" s="134">
        <f t="shared" si="10"/>
        <v>0</v>
      </c>
      <c r="AP31" s="134">
        <f t="shared" si="11"/>
        <v>0</v>
      </c>
      <c r="AQ31" s="134">
        <f t="shared" si="12"/>
        <v>0</v>
      </c>
      <c r="AR31" s="134">
        <f t="shared" si="13"/>
        <v>0</v>
      </c>
      <c r="AS31" s="134">
        <f t="shared" si="14"/>
        <v>0</v>
      </c>
      <c r="AT31" s="134">
        <f t="shared" si="15"/>
        <v>0</v>
      </c>
      <c r="AU31" s="134">
        <f t="shared" si="16"/>
        <v>0</v>
      </c>
      <c r="AV31" s="134">
        <f t="shared" si="17"/>
        <v>0</v>
      </c>
      <c r="AW31" s="134">
        <f t="shared" si="18"/>
        <v>0</v>
      </c>
      <c r="AX31" s="134">
        <f t="shared" si="19"/>
        <v>0</v>
      </c>
      <c r="AY31" s="134">
        <f t="shared" si="20"/>
        <v>0</v>
      </c>
      <c r="AZ31" s="134">
        <f t="shared" si="21"/>
        <v>0</v>
      </c>
      <c r="BA31" s="134">
        <f t="shared" si="22"/>
        <v>0</v>
      </c>
      <c r="BB31" s="134">
        <f t="shared" si="23"/>
        <v>0</v>
      </c>
      <c r="BC31" s="134">
        <f t="shared" si="24"/>
        <v>0</v>
      </c>
      <c r="BD31" s="134">
        <f t="shared" si="25"/>
        <v>0</v>
      </c>
      <c r="BE31" s="134">
        <f t="shared" si="26"/>
        <v>0</v>
      </c>
      <c r="BF31" s="134">
        <f t="shared" si="27"/>
        <v>0</v>
      </c>
      <c r="BG31" s="134">
        <f t="shared" si="28"/>
        <v>0</v>
      </c>
      <c r="BH31" s="134">
        <f t="shared" si="29"/>
        <v>0</v>
      </c>
      <c r="BI31" s="134">
        <f t="shared" si="30"/>
        <v>0</v>
      </c>
      <c r="BJ31" s="134">
        <f t="shared" si="31"/>
        <v>0</v>
      </c>
      <c r="BK31" s="134">
        <f t="shared" si="32"/>
        <v>0</v>
      </c>
      <c r="BL31" s="134">
        <f t="shared" si="33"/>
        <v>0</v>
      </c>
      <c r="BM31" s="134">
        <f t="shared" si="34"/>
        <v>0</v>
      </c>
      <c r="BN31" s="134">
        <f t="shared" si="35"/>
        <v>0</v>
      </c>
      <c r="BO31" s="134">
        <f t="shared" si="36"/>
        <v>0</v>
      </c>
      <c r="BP31" s="134">
        <f t="shared" si="37"/>
        <v>0</v>
      </c>
      <c r="BQ31" s="134">
        <f t="shared" si="38"/>
        <v>0</v>
      </c>
      <c r="BR31" s="134">
        <f t="shared" si="39"/>
        <v>0</v>
      </c>
      <c r="BS31" s="134">
        <f t="shared" si="40"/>
        <v>0</v>
      </c>
      <c r="BT31" s="134">
        <f t="shared" si="41"/>
        <v>0</v>
      </c>
      <c r="BU31" s="134">
        <f t="shared" si="42"/>
        <v>0</v>
      </c>
      <c r="BV31" s="134">
        <f t="shared" si="43"/>
        <v>0</v>
      </c>
      <c r="BW31" s="134">
        <f t="shared" si="44"/>
        <v>0</v>
      </c>
      <c r="BX31" s="134">
        <f t="shared" si="45"/>
        <v>0</v>
      </c>
      <c r="BY31" s="134">
        <f t="shared" si="46"/>
        <v>0</v>
      </c>
      <c r="BZ31" s="134">
        <f t="shared" si="47"/>
        <v>0</v>
      </c>
      <c r="CA31" s="134">
        <f t="shared" si="48"/>
        <v>0</v>
      </c>
      <c r="CB31" s="134">
        <f t="shared" si="49"/>
        <v>0</v>
      </c>
      <c r="CC31" s="134">
        <f t="shared" si="50"/>
        <v>0</v>
      </c>
      <c r="CD31" s="134">
        <f t="shared" si="51"/>
        <v>0</v>
      </c>
      <c r="CE31" s="134">
        <f t="shared" si="52"/>
        <v>0</v>
      </c>
      <c r="CF31" s="134">
        <f t="shared" si="53"/>
        <v>0</v>
      </c>
      <c r="CG31" s="134">
        <f t="shared" si="54"/>
        <v>0</v>
      </c>
      <c r="CH31" s="134">
        <f t="shared" si="55"/>
        <v>0</v>
      </c>
      <c r="CI31" s="134">
        <f t="shared" si="56"/>
        <v>0</v>
      </c>
      <c r="CJ31" s="134">
        <f t="shared" si="57"/>
        <v>0</v>
      </c>
      <c r="CK31" s="134"/>
    </row>
    <row r="32" ht="9.75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 t="str">
        <f>'Construction and Materials'!B46</f>
        <v>Pick Assembly</v>
      </c>
      <c r="Q32" s="134" t="str">
        <f>'Construction and Materials'!C46</f>
        <v>Pick Type</v>
      </c>
      <c r="R32" s="137" t="str">
        <f>'Construction and Materials'!D46</f>
        <v/>
      </c>
      <c r="S32" s="138">
        <f>IF(NOT(Q32="Pick Type"),VLOOKUP(Q32,'LCA Data'!$C$8:$S$107,6,FALSE)*Lists!R32,0)</f>
        <v>0</v>
      </c>
      <c r="T32" s="139">
        <f>IF(NOT(Q32="Pick Type"),VLOOKUP(Q32,'LCA Data'!$C$8:$S$107,10,FALSE)*Lists!R32,0)</f>
        <v>0</v>
      </c>
      <c r="U32" s="140">
        <f>IF(NOT(Q32="Pick Type"),VLOOKUP(Q32,'LCA Data'!$C$8:$S$107,14,FALSE)*Lists!R32,0)</f>
        <v>0</v>
      </c>
      <c r="V32" s="141">
        <f t="shared" si="2"/>
        <v>0</v>
      </c>
      <c r="W32" s="138">
        <f>IF(NOT(Q32="Pick Type"),VLOOKUP(Q32,'LCA Data'!$C$8:$S$107,7,FALSE)*Lists!R32,0)</f>
        <v>0</v>
      </c>
      <c r="X32" s="139">
        <f>IF(NOT(Q32="Pick Type"),VLOOKUP(Q32,'LCA Data'!$C$8:$S$107,11,FALSE)*Lists!R32,0)</f>
        <v>0</v>
      </c>
      <c r="Y32" s="140">
        <f>IF(NOT(Q32="Pick Type"),VLOOKUP(Q32,'LCA Data'!$C$8:$S$107,15,FALSE)*Lists!R32,0)</f>
        <v>0</v>
      </c>
      <c r="Z32" s="141">
        <f t="shared" si="3"/>
        <v>0</v>
      </c>
      <c r="AA32" s="138">
        <f>IF(NOT(Q32="Pick Type"),VLOOKUP(Q32,'LCA Data'!$C$8:$S$107,8,FALSE)*Lists!R32,0)</f>
        <v>0</v>
      </c>
      <c r="AB32" s="139">
        <f>IF(NOT(Q32="Pick Type"),VLOOKUP(Q32,'LCA Data'!$C$8:$S$107,12,FALSE)*Lists!R32,0)</f>
        <v>0</v>
      </c>
      <c r="AC32" s="140">
        <f>IF(NOT(Q32="Pick Type"),VLOOKUP(Q32,'LCA Data'!$C$8:$S$107,16,FALSE)*Lists!R32,0)</f>
        <v>0</v>
      </c>
      <c r="AD32" s="141">
        <f t="shared" si="4"/>
        <v>0</v>
      </c>
      <c r="AE32" s="142">
        <f>IF(NOT(Q32="Pick Type"),VLOOKUP(Q32,'LCA Data'!$C$8:$S$107,9,FALSE)*Lists!R32,0)</f>
        <v>0</v>
      </c>
      <c r="AF32" s="143">
        <f>IF(NOT(Q32="Pick Type"),VLOOKUP(Q32,'LCA Data'!$C$8:$S$107,13,FALSE)*Lists!R32,0)</f>
        <v>0</v>
      </c>
      <c r="AG32" s="144">
        <f>IF(NOT(Q32="Pick Type"),VLOOKUP(Q32,'LCA Data'!$C$8:$S$107,17,FALSE)*Lists!R32,0)</f>
        <v>0</v>
      </c>
      <c r="AH32" s="145">
        <f t="shared" si="5"/>
        <v>0</v>
      </c>
      <c r="AI32" s="134" t="str">
        <f t="shared" si="6"/>
        <v>#N/A</v>
      </c>
      <c r="AJ32" s="134"/>
      <c r="AK32" s="146" t="s">
        <v>314</v>
      </c>
      <c r="AL32" s="137">
        <f t="shared" si="7"/>
        <v>0</v>
      </c>
      <c r="AM32" s="134">
        <f t="shared" si="8"/>
        <v>0</v>
      </c>
      <c r="AN32" s="134">
        <f t="shared" si="9"/>
        <v>0</v>
      </c>
      <c r="AO32" s="134">
        <f t="shared" si="10"/>
        <v>0</v>
      </c>
      <c r="AP32" s="134">
        <f t="shared" si="11"/>
        <v>0</v>
      </c>
      <c r="AQ32" s="134">
        <f t="shared" si="12"/>
        <v>0</v>
      </c>
      <c r="AR32" s="134">
        <f t="shared" si="13"/>
        <v>0</v>
      </c>
      <c r="AS32" s="134">
        <f t="shared" si="14"/>
        <v>0</v>
      </c>
      <c r="AT32" s="134">
        <f t="shared" si="15"/>
        <v>0</v>
      </c>
      <c r="AU32" s="134">
        <f t="shared" si="16"/>
        <v>0</v>
      </c>
      <c r="AV32" s="134">
        <f t="shared" si="17"/>
        <v>0</v>
      </c>
      <c r="AW32" s="134">
        <f t="shared" si="18"/>
        <v>0</v>
      </c>
      <c r="AX32" s="134">
        <f t="shared" si="19"/>
        <v>0</v>
      </c>
      <c r="AY32" s="134">
        <f t="shared" si="20"/>
        <v>0</v>
      </c>
      <c r="AZ32" s="134">
        <f t="shared" si="21"/>
        <v>0</v>
      </c>
      <c r="BA32" s="134">
        <f t="shared" si="22"/>
        <v>0</v>
      </c>
      <c r="BB32" s="134">
        <f t="shared" si="23"/>
        <v>0</v>
      </c>
      <c r="BC32" s="134">
        <f t="shared" si="24"/>
        <v>0</v>
      </c>
      <c r="BD32" s="134">
        <f t="shared" si="25"/>
        <v>0</v>
      </c>
      <c r="BE32" s="134">
        <f t="shared" si="26"/>
        <v>0</v>
      </c>
      <c r="BF32" s="134">
        <f t="shared" si="27"/>
        <v>0</v>
      </c>
      <c r="BG32" s="134">
        <f t="shared" si="28"/>
        <v>0</v>
      </c>
      <c r="BH32" s="134">
        <f t="shared" si="29"/>
        <v>0</v>
      </c>
      <c r="BI32" s="134">
        <f t="shared" si="30"/>
        <v>0</v>
      </c>
      <c r="BJ32" s="134">
        <f t="shared" si="31"/>
        <v>0</v>
      </c>
      <c r="BK32" s="134">
        <f t="shared" si="32"/>
        <v>0</v>
      </c>
      <c r="BL32" s="134">
        <f t="shared" si="33"/>
        <v>0</v>
      </c>
      <c r="BM32" s="134">
        <f t="shared" si="34"/>
        <v>0</v>
      </c>
      <c r="BN32" s="134">
        <f t="shared" si="35"/>
        <v>0</v>
      </c>
      <c r="BO32" s="134">
        <f t="shared" si="36"/>
        <v>0</v>
      </c>
      <c r="BP32" s="134">
        <f t="shared" si="37"/>
        <v>0</v>
      </c>
      <c r="BQ32" s="134">
        <f t="shared" si="38"/>
        <v>0</v>
      </c>
      <c r="BR32" s="134">
        <f t="shared" si="39"/>
        <v>0</v>
      </c>
      <c r="BS32" s="134">
        <f t="shared" si="40"/>
        <v>0</v>
      </c>
      <c r="BT32" s="134">
        <f t="shared" si="41"/>
        <v>0</v>
      </c>
      <c r="BU32" s="134">
        <f t="shared" si="42"/>
        <v>0</v>
      </c>
      <c r="BV32" s="134">
        <f t="shared" si="43"/>
        <v>0</v>
      </c>
      <c r="BW32" s="134">
        <f t="shared" si="44"/>
        <v>0</v>
      </c>
      <c r="BX32" s="134">
        <f t="shared" si="45"/>
        <v>0</v>
      </c>
      <c r="BY32" s="134">
        <f t="shared" si="46"/>
        <v>0</v>
      </c>
      <c r="BZ32" s="134">
        <f t="shared" si="47"/>
        <v>0</v>
      </c>
      <c r="CA32" s="134">
        <f t="shared" si="48"/>
        <v>0</v>
      </c>
      <c r="CB32" s="134">
        <f t="shared" si="49"/>
        <v>0</v>
      </c>
      <c r="CC32" s="134">
        <f t="shared" si="50"/>
        <v>0</v>
      </c>
      <c r="CD32" s="134">
        <f t="shared" si="51"/>
        <v>0</v>
      </c>
      <c r="CE32" s="134">
        <f t="shared" si="52"/>
        <v>0</v>
      </c>
      <c r="CF32" s="134">
        <f t="shared" si="53"/>
        <v>0</v>
      </c>
      <c r="CG32" s="134">
        <f t="shared" si="54"/>
        <v>0</v>
      </c>
      <c r="CH32" s="134">
        <f t="shared" si="55"/>
        <v>0</v>
      </c>
      <c r="CI32" s="134">
        <f t="shared" si="56"/>
        <v>0</v>
      </c>
      <c r="CJ32" s="134">
        <f t="shared" si="57"/>
        <v>0</v>
      </c>
      <c r="CK32" s="134"/>
    </row>
    <row r="33" ht="9.75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 t="str">
        <f>'Construction and Materials'!B47</f>
        <v>Pick Assembly</v>
      </c>
      <c r="Q33" s="134" t="str">
        <f>'Construction and Materials'!C47</f>
        <v>Pick Type</v>
      </c>
      <c r="R33" s="137" t="str">
        <f>'Construction and Materials'!D47</f>
        <v/>
      </c>
      <c r="S33" s="138">
        <f>IF(NOT(Q33="Pick Type"),VLOOKUP(Q33,'LCA Data'!$C$8:$S$107,6,FALSE)*Lists!R33,0)</f>
        <v>0</v>
      </c>
      <c r="T33" s="139">
        <f>IF(NOT(Q33="Pick Type"),VLOOKUP(Q33,'LCA Data'!$C$8:$S$107,10,FALSE)*Lists!R33,0)</f>
        <v>0</v>
      </c>
      <c r="U33" s="140">
        <f>IF(NOT(Q33="Pick Type"),VLOOKUP(Q33,'LCA Data'!$C$8:$S$107,14,FALSE)*Lists!R33,0)</f>
        <v>0</v>
      </c>
      <c r="V33" s="141">
        <f t="shared" si="2"/>
        <v>0</v>
      </c>
      <c r="W33" s="138">
        <f>IF(NOT(Q33="Pick Type"),VLOOKUP(Q33,'LCA Data'!$C$8:$S$107,7,FALSE)*Lists!R33,0)</f>
        <v>0</v>
      </c>
      <c r="X33" s="139">
        <f>IF(NOT(Q33="Pick Type"),VLOOKUP(Q33,'LCA Data'!$C$8:$S$107,11,FALSE)*Lists!R33,0)</f>
        <v>0</v>
      </c>
      <c r="Y33" s="140">
        <f>IF(NOT(Q33="Pick Type"),VLOOKUP(Q33,'LCA Data'!$C$8:$S$107,15,FALSE)*Lists!R33,0)</f>
        <v>0</v>
      </c>
      <c r="Z33" s="141">
        <f t="shared" si="3"/>
        <v>0</v>
      </c>
      <c r="AA33" s="138">
        <f>IF(NOT(Q33="Pick Type"),VLOOKUP(Q33,'LCA Data'!$C$8:$S$107,8,FALSE)*Lists!R33,0)</f>
        <v>0</v>
      </c>
      <c r="AB33" s="139">
        <f>IF(NOT(Q33="Pick Type"),VLOOKUP(Q33,'LCA Data'!$C$8:$S$107,12,FALSE)*Lists!R33,0)</f>
        <v>0</v>
      </c>
      <c r="AC33" s="140">
        <f>IF(NOT(Q33="Pick Type"),VLOOKUP(Q33,'LCA Data'!$C$8:$S$107,16,FALSE)*Lists!R33,0)</f>
        <v>0</v>
      </c>
      <c r="AD33" s="141">
        <f t="shared" si="4"/>
        <v>0</v>
      </c>
      <c r="AE33" s="142">
        <f>IF(NOT(Q33="Pick Type"),VLOOKUP(Q33,'LCA Data'!$C$8:$S$107,9,FALSE)*Lists!R33,0)</f>
        <v>0</v>
      </c>
      <c r="AF33" s="143">
        <f>IF(NOT(Q33="Pick Type"),VLOOKUP(Q33,'LCA Data'!$C$8:$S$107,13,FALSE)*Lists!R33,0)</f>
        <v>0</v>
      </c>
      <c r="AG33" s="144">
        <f>IF(NOT(Q33="Pick Type"),VLOOKUP(Q33,'LCA Data'!$C$8:$S$107,17,FALSE)*Lists!R33,0)</f>
        <v>0</v>
      </c>
      <c r="AH33" s="145">
        <f t="shared" si="5"/>
        <v>0</v>
      </c>
      <c r="AI33" s="134" t="str">
        <f t="shared" si="6"/>
        <v>#N/A</v>
      </c>
      <c r="AJ33" s="134"/>
      <c r="AK33" s="146" t="s">
        <v>314</v>
      </c>
      <c r="AL33" s="137">
        <f t="shared" si="7"/>
        <v>0</v>
      </c>
      <c r="AM33" s="134">
        <f t="shared" si="8"/>
        <v>0</v>
      </c>
      <c r="AN33" s="134">
        <f t="shared" si="9"/>
        <v>0</v>
      </c>
      <c r="AO33" s="134">
        <f t="shared" si="10"/>
        <v>0</v>
      </c>
      <c r="AP33" s="134">
        <f t="shared" si="11"/>
        <v>0</v>
      </c>
      <c r="AQ33" s="134">
        <f t="shared" si="12"/>
        <v>0</v>
      </c>
      <c r="AR33" s="134">
        <f t="shared" si="13"/>
        <v>0</v>
      </c>
      <c r="AS33" s="134">
        <f t="shared" si="14"/>
        <v>0</v>
      </c>
      <c r="AT33" s="134">
        <f t="shared" si="15"/>
        <v>0</v>
      </c>
      <c r="AU33" s="134">
        <f t="shared" si="16"/>
        <v>0</v>
      </c>
      <c r="AV33" s="134">
        <f t="shared" si="17"/>
        <v>0</v>
      </c>
      <c r="AW33" s="134">
        <f t="shared" si="18"/>
        <v>0</v>
      </c>
      <c r="AX33" s="134">
        <f t="shared" si="19"/>
        <v>0</v>
      </c>
      <c r="AY33" s="134">
        <f t="shared" si="20"/>
        <v>0</v>
      </c>
      <c r="AZ33" s="134">
        <f t="shared" si="21"/>
        <v>0</v>
      </c>
      <c r="BA33" s="134">
        <f t="shared" si="22"/>
        <v>0</v>
      </c>
      <c r="BB33" s="134">
        <f t="shared" si="23"/>
        <v>0</v>
      </c>
      <c r="BC33" s="134">
        <f t="shared" si="24"/>
        <v>0</v>
      </c>
      <c r="BD33" s="134">
        <f t="shared" si="25"/>
        <v>0</v>
      </c>
      <c r="BE33" s="134">
        <f t="shared" si="26"/>
        <v>0</v>
      </c>
      <c r="BF33" s="134">
        <f t="shared" si="27"/>
        <v>0</v>
      </c>
      <c r="BG33" s="134">
        <f t="shared" si="28"/>
        <v>0</v>
      </c>
      <c r="BH33" s="134">
        <f t="shared" si="29"/>
        <v>0</v>
      </c>
      <c r="BI33" s="134">
        <f t="shared" si="30"/>
        <v>0</v>
      </c>
      <c r="BJ33" s="134">
        <f t="shared" si="31"/>
        <v>0</v>
      </c>
      <c r="BK33" s="134">
        <f t="shared" si="32"/>
        <v>0</v>
      </c>
      <c r="BL33" s="134">
        <f t="shared" si="33"/>
        <v>0</v>
      </c>
      <c r="BM33" s="134">
        <f t="shared" si="34"/>
        <v>0</v>
      </c>
      <c r="BN33" s="134">
        <f t="shared" si="35"/>
        <v>0</v>
      </c>
      <c r="BO33" s="134">
        <f t="shared" si="36"/>
        <v>0</v>
      </c>
      <c r="BP33" s="134">
        <f t="shared" si="37"/>
        <v>0</v>
      </c>
      <c r="BQ33" s="134">
        <f t="shared" si="38"/>
        <v>0</v>
      </c>
      <c r="BR33" s="134">
        <f t="shared" si="39"/>
        <v>0</v>
      </c>
      <c r="BS33" s="134">
        <f t="shared" si="40"/>
        <v>0</v>
      </c>
      <c r="BT33" s="134">
        <f t="shared" si="41"/>
        <v>0</v>
      </c>
      <c r="BU33" s="134">
        <f t="shared" si="42"/>
        <v>0</v>
      </c>
      <c r="BV33" s="134">
        <f t="shared" si="43"/>
        <v>0</v>
      </c>
      <c r="BW33" s="134">
        <f t="shared" si="44"/>
        <v>0</v>
      </c>
      <c r="BX33" s="134">
        <f t="shared" si="45"/>
        <v>0</v>
      </c>
      <c r="BY33" s="134">
        <f t="shared" si="46"/>
        <v>0</v>
      </c>
      <c r="BZ33" s="134">
        <f t="shared" si="47"/>
        <v>0</v>
      </c>
      <c r="CA33" s="134">
        <f t="shared" si="48"/>
        <v>0</v>
      </c>
      <c r="CB33" s="134">
        <f t="shared" si="49"/>
        <v>0</v>
      </c>
      <c r="CC33" s="134">
        <f t="shared" si="50"/>
        <v>0</v>
      </c>
      <c r="CD33" s="134">
        <f t="shared" si="51"/>
        <v>0</v>
      </c>
      <c r="CE33" s="134">
        <f t="shared" si="52"/>
        <v>0</v>
      </c>
      <c r="CF33" s="134">
        <f t="shared" si="53"/>
        <v>0</v>
      </c>
      <c r="CG33" s="134">
        <f t="shared" si="54"/>
        <v>0</v>
      </c>
      <c r="CH33" s="134">
        <f t="shared" si="55"/>
        <v>0</v>
      </c>
      <c r="CI33" s="134">
        <f t="shared" si="56"/>
        <v>0</v>
      </c>
      <c r="CJ33" s="134">
        <f t="shared" si="57"/>
        <v>0</v>
      </c>
      <c r="CK33" s="134"/>
    </row>
    <row r="34" ht="9.7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 t="str">
        <f>'Construction and Materials'!B48</f>
        <v>Pick Assembly</v>
      </c>
      <c r="Q34" s="134" t="str">
        <f>'Construction and Materials'!C48</f>
        <v>Pick Type</v>
      </c>
      <c r="R34" s="137" t="str">
        <f>'Construction and Materials'!D48</f>
        <v/>
      </c>
      <c r="S34" s="138">
        <f>IF(NOT(Q34="Pick Type"),VLOOKUP(Q34,'LCA Data'!$C$8:$S$107,6,FALSE)*Lists!R34,0)</f>
        <v>0</v>
      </c>
      <c r="T34" s="139">
        <f>IF(NOT(Q34="Pick Type"),VLOOKUP(Q34,'LCA Data'!$C$8:$S$107,10,FALSE)*Lists!R34,0)</f>
        <v>0</v>
      </c>
      <c r="U34" s="140">
        <f>IF(NOT(Q34="Pick Type"),VLOOKUP(Q34,'LCA Data'!$C$8:$S$107,14,FALSE)*Lists!R34,0)</f>
        <v>0</v>
      </c>
      <c r="V34" s="141">
        <f t="shared" si="2"/>
        <v>0</v>
      </c>
      <c r="W34" s="138">
        <f>IF(NOT(Q34="Pick Type"),VLOOKUP(Q34,'LCA Data'!$C$8:$S$107,7,FALSE)*Lists!R34,0)</f>
        <v>0</v>
      </c>
      <c r="X34" s="139">
        <f>IF(NOT(Q34="Pick Type"),VLOOKUP(Q34,'LCA Data'!$C$8:$S$107,11,FALSE)*Lists!R34,0)</f>
        <v>0</v>
      </c>
      <c r="Y34" s="140">
        <f>IF(NOT(Q34="Pick Type"),VLOOKUP(Q34,'LCA Data'!$C$8:$S$107,15,FALSE)*Lists!R34,0)</f>
        <v>0</v>
      </c>
      <c r="Z34" s="141">
        <f t="shared" si="3"/>
        <v>0</v>
      </c>
      <c r="AA34" s="138">
        <f>IF(NOT(Q34="Pick Type"),VLOOKUP(Q34,'LCA Data'!$C$8:$S$107,8,FALSE)*Lists!R34,0)</f>
        <v>0</v>
      </c>
      <c r="AB34" s="139">
        <f>IF(NOT(Q34="Pick Type"),VLOOKUP(Q34,'LCA Data'!$C$8:$S$107,12,FALSE)*Lists!R34,0)</f>
        <v>0</v>
      </c>
      <c r="AC34" s="140">
        <f>IF(NOT(Q34="Pick Type"),VLOOKUP(Q34,'LCA Data'!$C$8:$S$107,16,FALSE)*Lists!R34,0)</f>
        <v>0</v>
      </c>
      <c r="AD34" s="141">
        <f t="shared" si="4"/>
        <v>0</v>
      </c>
      <c r="AE34" s="142">
        <f>IF(NOT(Q34="Pick Type"),VLOOKUP(Q34,'LCA Data'!$C$8:$S$107,9,FALSE)*Lists!R34,0)</f>
        <v>0</v>
      </c>
      <c r="AF34" s="143">
        <f>IF(NOT(Q34="Pick Type"),VLOOKUP(Q34,'LCA Data'!$C$8:$S$107,13,FALSE)*Lists!R34,0)</f>
        <v>0</v>
      </c>
      <c r="AG34" s="144">
        <f>IF(NOT(Q34="Pick Type"),VLOOKUP(Q34,'LCA Data'!$C$8:$S$107,17,FALSE)*Lists!R34,0)</f>
        <v>0</v>
      </c>
      <c r="AH34" s="145">
        <f t="shared" si="5"/>
        <v>0</v>
      </c>
      <c r="AI34" s="134" t="str">
        <f t="shared" si="6"/>
        <v>#N/A</v>
      </c>
      <c r="AJ34" s="134"/>
      <c r="AK34" s="146" t="s">
        <v>314</v>
      </c>
      <c r="AL34" s="137">
        <f t="shared" si="7"/>
        <v>0</v>
      </c>
      <c r="AM34" s="134">
        <f t="shared" si="8"/>
        <v>0</v>
      </c>
      <c r="AN34" s="134">
        <f t="shared" si="9"/>
        <v>0</v>
      </c>
      <c r="AO34" s="134">
        <f t="shared" si="10"/>
        <v>0</v>
      </c>
      <c r="AP34" s="134">
        <f t="shared" si="11"/>
        <v>0</v>
      </c>
      <c r="AQ34" s="134">
        <f t="shared" si="12"/>
        <v>0</v>
      </c>
      <c r="AR34" s="134">
        <f t="shared" si="13"/>
        <v>0</v>
      </c>
      <c r="AS34" s="134">
        <f t="shared" si="14"/>
        <v>0</v>
      </c>
      <c r="AT34" s="134">
        <f t="shared" si="15"/>
        <v>0</v>
      </c>
      <c r="AU34" s="134">
        <f t="shared" si="16"/>
        <v>0</v>
      </c>
      <c r="AV34" s="134">
        <f t="shared" si="17"/>
        <v>0</v>
      </c>
      <c r="AW34" s="134">
        <f t="shared" si="18"/>
        <v>0</v>
      </c>
      <c r="AX34" s="134">
        <f t="shared" si="19"/>
        <v>0</v>
      </c>
      <c r="AY34" s="134">
        <f t="shared" si="20"/>
        <v>0</v>
      </c>
      <c r="AZ34" s="134">
        <f t="shared" si="21"/>
        <v>0</v>
      </c>
      <c r="BA34" s="134">
        <f t="shared" si="22"/>
        <v>0</v>
      </c>
      <c r="BB34" s="134">
        <f t="shared" si="23"/>
        <v>0</v>
      </c>
      <c r="BC34" s="134">
        <f t="shared" si="24"/>
        <v>0</v>
      </c>
      <c r="BD34" s="134">
        <f t="shared" si="25"/>
        <v>0</v>
      </c>
      <c r="BE34" s="134">
        <f t="shared" si="26"/>
        <v>0</v>
      </c>
      <c r="BF34" s="134">
        <f t="shared" si="27"/>
        <v>0</v>
      </c>
      <c r="BG34" s="134">
        <f t="shared" si="28"/>
        <v>0</v>
      </c>
      <c r="BH34" s="134">
        <f t="shared" si="29"/>
        <v>0</v>
      </c>
      <c r="BI34" s="134">
        <f t="shared" si="30"/>
        <v>0</v>
      </c>
      <c r="BJ34" s="134">
        <f t="shared" si="31"/>
        <v>0</v>
      </c>
      <c r="BK34" s="134">
        <f t="shared" si="32"/>
        <v>0</v>
      </c>
      <c r="BL34" s="134">
        <f t="shared" si="33"/>
        <v>0</v>
      </c>
      <c r="BM34" s="134">
        <f t="shared" si="34"/>
        <v>0</v>
      </c>
      <c r="BN34" s="134">
        <f t="shared" si="35"/>
        <v>0</v>
      </c>
      <c r="BO34" s="134">
        <f t="shared" si="36"/>
        <v>0</v>
      </c>
      <c r="BP34" s="134">
        <f t="shared" si="37"/>
        <v>0</v>
      </c>
      <c r="BQ34" s="134">
        <f t="shared" si="38"/>
        <v>0</v>
      </c>
      <c r="BR34" s="134">
        <f t="shared" si="39"/>
        <v>0</v>
      </c>
      <c r="BS34" s="134">
        <f t="shared" si="40"/>
        <v>0</v>
      </c>
      <c r="BT34" s="134">
        <f t="shared" si="41"/>
        <v>0</v>
      </c>
      <c r="BU34" s="134">
        <f t="shared" si="42"/>
        <v>0</v>
      </c>
      <c r="BV34" s="134">
        <f t="shared" si="43"/>
        <v>0</v>
      </c>
      <c r="BW34" s="134">
        <f t="shared" si="44"/>
        <v>0</v>
      </c>
      <c r="BX34" s="134">
        <f t="shared" si="45"/>
        <v>0</v>
      </c>
      <c r="BY34" s="134">
        <f t="shared" si="46"/>
        <v>0</v>
      </c>
      <c r="BZ34" s="134">
        <f t="shared" si="47"/>
        <v>0</v>
      </c>
      <c r="CA34" s="134">
        <f t="shared" si="48"/>
        <v>0</v>
      </c>
      <c r="CB34" s="134">
        <f t="shared" si="49"/>
        <v>0</v>
      </c>
      <c r="CC34" s="134">
        <f t="shared" si="50"/>
        <v>0</v>
      </c>
      <c r="CD34" s="134">
        <f t="shared" si="51"/>
        <v>0</v>
      </c>
      <c r="CE34" s="134">
        <f t="shared" si="52"/>
        <v>0</v>
      </c>
      <c r="CF34" s="134">
        <f t="shared" si="53"/>
        <v>0</v>
      </c>
      <c r="CG34" s="134">
        <f t="shared" si="54"/>
        <v>0</v>
      </c>
      <c r="CH34" s="134">
        <f t="shared" si="55"/>
        <v>0</v>
      </c>
      <c r="CI34" s="134">
        <f t="shared" si="56"/>
        <v>0</v>
      </c>
      <c r="CJ34" s="134">
        <f t="shared" si="57"/>
        <v>0</v>
      </c>
      <c r="CK34" s="134"/>
    </row>
    <row r="35" ht="9.75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 t="str">
        <f>'Construction and Materials'!B49</f>
        <v>Pick Assembly</v>
      </c>
      <c r="Q35" s="134" t="str">
        <f>'Construction and Materials'!C49</f>
        <v>Pick Type</v>
      </c>
      <c r="R35" s="137" t="str">
        <f>'Construction and Materials'!D49</f>
        <v/>
      </c>
      <c r="S35" s="138">
        <f>IF(NOT(Q35="Pick Type"),VLOOKUP(Q35,'LCA Data'!$C$8:$S$107,6,FALSE)*Lists!R35,0)</f>
        <v>0</v>
      </c>
      <c r="T35" s="139">
        <f>IF(NOT(Q35="Pick Type"),VLOOKUP(Q35,'LCA Data'!$C$8:$S$107,10,FALSE)*Lists!R35,0)</f>
        <v>0</v>
      </c>
      <c r="U35" s="140">
        <f>IF(NOT(Q35="Pick Type"),VLOOKUP(Q35,'LCA Data'!$C$8:$S$107,14,FALSE)*Lists!R35,0)</f>
        <v>0</v>
      </c>
      <c r="V35" s="141">
        <f t="shared" si="2"/>
        <v>0</v>
      </c>
      <c r="W35" s="138">
        <f>IF(NOT(Q35="Pick Type"),VLOOKUP(Q35,'LCA Data'!$C$8:$S$107,7,FALSE)*Lists!R35,0)</f>
        <v>0</v>
      </c>
      <c r="X35" s="139">
        <f>IF(NOT(Q35="Pick Type"),VLOOKUP(Q35,'LCA Data'!$C$8:$S$107,11,FALSE)*Lists!R35,0)</f>
        <v>0</v>
      </c>
      <c r="Y35" s="140">
        <f>IF(NOT(Q35="Pick Type"),VLOOKUP(Q35,'LCA Data'!$C$8:$S$107,15,FALSE)*Lists!R35,0)</f>
        <v>0</v>
      </c>
      <c r="Z35" s="141">
        <f t="shared" si="3"/>
        <v>0</v>
      </c>
      <c r="AA35" s="138">
        <f>IF(NOT(Q35="Pick Type"),VLOOKUP(Q35,'LCA Data'!$C$8:$S$107,8,FALSE)*Lists!R35,0)</f>
        <v>0</v>
      </c>
      <c r="AB35" s="139">
        <f>IF(NOT(Q35="Pick Type"),VLOOKUP(Q35,'LCA Data'!$C$8:$S$107,12,FALSE)*Lists!R35,0)</f>
        <v>0</v>
      </c>
      <c r="AC35" s="140">
        <f>IF(NOT(Q35="Pick Type"),VLOOKUP(Q35,'LCA Data'!$C$8:$S$107,16,FALSE)*Lists!R35,0)</f>
        <v>0</v>
      </c>
      <c r="AD35" s="141">
        <f t="shared" si="4"/>
        <v>0</v>
      </c>
      <c r="AE35" s="142">
        <f>IF(NOT(Q35="Pick Type"),VLOOKUP(Q35,'LCA Data'!$C$8:$S$107,9,FALSE)*Lists!R35,0)</f>
        <v>0</v>
      </c>
      <c r="AF35" s="143">
        <f>IF(NOT(Q35="Pick Type"),VLOOKUP(Q35,'LCA Data'!$C$8:$S$107,13,FALSE)*Lists!R35,0)</f>
        <v>0</v>
      </c>
      <c r="AG35" s="144">
        <f>IF(NOT(Q35="Pick Type"),VLOOKUP(Q35,'LCA Data'!$C$8:$S$107,17,FALSE)*Lists!R35,0)</f>
        <v>0</v>
      </c>
      <c r="AH35" s="145">
        <f t="shared" si="5"/>
        <v>0</v>
      </c>
      <c r="AI35" s="134" t="str">
        <f t="shared" si="6"/>
        <v>#N/A</v>
      </c>
      <c r="AJ35" s="134"/>
      <c r="AK35" s="146" t="s">
        <v>314</v>
      </c>
      <c r="AL35" s="137">
        <f t="shared" si="7"/>
        <v>0</v>
      </c>
      <c r="AM35" s="134">
        <f t="shared" si="8"/>
        <v>0</v>
      </c>
      <c r="AN35" s="134">
        <f t="shared" si="9"/>
        <v>0</v>
      </c>
      <c r="AO35" s="134">
        <f t="shared" si="10"/>
        <v>0</v>
      </c>
      <c r="AP35" s="134">
        <f t="shared" si="11"/>
        <v>0</v>
      </c>
      <c r="AQ35" s="134">
        <f t="shared" si="12"/>
        <v>0</v>
      </c>
      <c r="AR35" s="134">
        <f t="shared" si="13"/>
        <v>0</v>
      </c>
      <c r="AS35" s="134">
        <f t="shared" si="14"/>
        <v>0</v>
      </c>
      <c r="AT35" s="134">
        <f t="shared" si="15"/>
        <v>0</v>
      </c>
      <c r="AU35" s="134">
        <f t="shared" si="16"/>
        <v>0</v>
      </c>
      <c r="AV35" s="134">
        <f t="shared" si="17"/>
        <v>0</v>
      </c>
      <c r="AW35" s="134">
        <f t="shared" si="18"/>
        <v>0</v>
      </c>
      <c r="AX35" s="134">
        <f t="shared" si="19"/>
        <v>0</v>
      </c>
      <c r="AY35" s="134">
        <f t="shared" si="20"/>
        <v>0</v>
      </c>
      <c r="AZ35" s="134">
        <f t="shared" si="21"/>
        <v>0</v>
      </c>
      <c r="BA35" s="134">
        <f t="shared" si="22"/>
        <v>0</v>
      </c>
      <c r="BB35" s="134">
        <f t="shared" si="23"/>
        <v>0</v>
      </c>
      <c r="BC35" s="134">
        <f t="shared" si="24"/>
        <v>0</v>
      </c>
      <c r="BD35" s="134">
        <f t="shared" si="25"/>
        <v>0</v>
      </c>
      <c r="BE35" s="134">
        <f t="shared" si="26"/>
        <v>0</v>
      </c>
      <c r="BF35" s="134">
        <f t="shared" si="27"/>
        <v>0</v>
      </c>
      <c r="BG35" s="134">
        <f t="shared" si="28"/>
        <v>0</v>
      </c>
      <c r="BH35" s="134">
        <f t="shared" si="29"/>
        <v>0</v>
      </c>
      <c r="BI35" s="134">
        <f t="shared" si="30"/>
        <v>0</v>
      </c>
      <c r="BJ35" s="134">
        <f t="shared" si="31"/>
        <v>0</v>
      </c>
      <c r="BK35" s="134">
        <f t="shared" si="32"/>
        <v>0</v>
      </c>
      <c r="BL35" s="134">
        <f t="shared" si="33"/>
        <v>0</v>
      </c>
      <c r="BM35" s="134">
        <f t="shared" si="34"/>
        <v>0</v>
      </c>
      <c r="BN35" s="134">
        <f t="shared" si="35"/>
        <v>0</v>
      </c>
      <c r="BO35" s="134">
        <f t="shared" si="36"/>
        <v>0</v>
      </c>
      <c r="BP35" s="134">
        <f t="shared" si="37"/>
        <v>0</v>
      </c>
      <c r="BQ35" s="134">
        <f t="shared" si="38"/>
        <v>0</v>
      </c>
      <c r="BR35" s="134">
        <f t="shared" si="39"/>
        <v>0</v>
      </c>
      <c r="BS35" s="134">
        <f t="shared" si="40"/>
        <v>0</v>
      </c>
      <c r="BT35" s="134">
        <f t="shared" si="41"/>
        <v>0</v>
      </c>
      <c r="BU35" s="134">
        <f t="shared" si="42"/>
        <v>0</v>
      </c>
      <c r="BV35" s="134">
        <f t="shared" si="43"/>
        <v>0</v>
      </c>
      <c r="BW35" s="134">
        <f t="shared" si="44"/>
        <v>0</v>
      </c>
      <c r="BX35" s="134">
        <f t="shared" si="45"/>
        <v>0</v>
      </c>
      <c r="BY35" s="134">
        <f t="shared" si="46"/>
        <v>0</v>
      </c>
      <c r="BZ35" s="134">
        <f t="shared" si="47"/>
        <v>0</v>
      </c>
      <c r="CA35" s="134">
        <f t="shared" si="48"/>
        <v>0</v>
      </c>
      <c r="CB35" s="134">
        <f t="shared" si="49"/>
        <v>0</v>
      </c>
      <c r="CC35" s="134">
        <f t="shared" si="50"/>
        <v>0</v>
      </c>
      <c r="CD35" s="134">
        <f t="shared" si="51"/>
        <v>0</v>
      </c>
      <c r="CE35" s="134">
        <f t="shared" si="52"/>
        <v>0</v>
      </c>
      <c r="CF35" s="134">
        <f t="shared" si="53"/>
        <v>0</v>
      </c>
      <c r="CG35" s="134">
        <f t="shared" si="54"/>
        <v>0</v>
      </c>
      <c r="CH35" s="134">
        <f t="shared" si="55"/>
        <v>0</v>
      </c>
      <c r="CI35" s="134">
        <f t="shared" si="56"/>
        <v>0</v>
      </c>
      <c r="CJ35" s="134">
        <f t="shared" si="57"/>
        <v>0</v>
      </c>
      <c r="CK35" s="134"/>
    </row>
    <row r="36" ht="9.75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 t="str">
        <f>'Construction and Materials'!B50</f>
        <v>Pick Assembly</v>
      </c>
      <c r="Q36" s="134" t="str">
        <f>'Construction and Materials'!C50</f>
        <v>Pick Type</v>
      </c>
      <c r="R36" s="137" t="str">
        <f>'Construction and Materials'!D50</f>
        <v/>
      </c>
      <c r="S36" s="138">
        <f>IF(NOT(Q36="Pick Type"),VLOOKUP(Q36,'LCA Data'!$C$8:$S$107,6,FALSE)*Lists!R36,0)</f>
        <v>0</v>
      </c>
      <c r="T36" s="139">
        <f>IF(NOT(Q36="Pick Type"),VLOOKUP(Q36,'LCA Data'!$C$8:$S$107,10,FALSE)*Lists!R36,0)</f>
        <v>0</v>
      </c>
      <c r="U36" s="140">
        <f>IF(NOT(Q36="Pick Type"),VLOOKUP(Q36,'LCA Data'!$C$8:$S$107,14,FALSE)*Lists!R36,0)</f>
        <v>0</v>
      </c>
      <c r="V36" s="141">
        <f t="shared" si="2"/>
        <v>0</v>
      </c>
      <c r="W36" s="138">
        <f>IF(NOT(Q36="Pick Type"),VLOOKUP(Q36,'LCA Data'!$C$8:$S$107,7,FALSE)*Lists!R36,0)</f>
        <v>0</v>
      </c>
      <c r="X36" s="139">
        <f>IF(NOT(Q36="Pick Type"),VLOOKUP(Q36,'LCA Data'!$C$8:$S$107,11,FALSE)*Lists!R36,0)</f>
        <v>0</v>
      </c>
      <c r="Y36" s="140">
        <f>IF(NOT(Q36="Pick Type"),VLOOKUP(Q36,'LCA Data'!$C$8:$S$107,15,FALSE)*Lists!R36,0)</f>
        <v>0</v>
      </c>
      <c r="Z36" s="141">
        <f t="shared" si="3"/>
        <v>0</v>
      </c>
      <c r="AA36" s="138">
        <f>IF(NOT(Q36="Pick Type"),VLOOKUP(Q36,'LCA Data'!$C$8:$S$107,8,FALSE)*Lists!R36,0)</f>
        <v>0</v>
      </c>
      <c r="AB36" s="139">
        <f>IF(NOT(Q36="Pick Type"),VLOOKUP(Q36,'LCA Data'!$C$8:$S$107,12,FALSE)*Lists!R36,0)</f>
        <v>0</v>
      </c>
      <c r="AC36" s="140">
        <f>IF(NOT(Q36="Pick Type"),VLOOKUP(Q36,'LCA Data'!$C$8:$S$107,16,FALSE)*Lists!R36,0)</f>
        <v>0</v>
      </c>
      <c r="AD36" s="141">
        <f t="shared" si="4"/>
        <v>0</v>
      </c>
      <c r="AE36" s="142">
        <f>IF(NOT(Q36="Pick Type"),VLOOKUP(Q36,'LCA Data'!$C$8:$S$107,9,FALSE)*Lists!R36,0)</f>
        <v>0</v>
      </c>
      <c r="AF36" s="143">
        <f>IF(NOT(Q36="Pick Type"),VLOOKUP(Q36,'LCA Data'!$C$8:$S$107,13,FALSE)*Lists!R36,0)</f>
        <v>0</v>
      </c>
      <c r="AG36" s="144">
        <f>IF(NOT(Q36="Pick Type"),VLOOKUP(Q36,'LCA Data'!$C$8:$S$107,17,FALSE)*Lists!R36,0)</f>
        <v>0</v>
      </c>
      <c r="AH36" s="145">
        <f t="shared" si="5"/>
        <v>0</v>
      </c>
      <c r="AI36" s="134" t="str">
        <f t="shared" si="6"/>
        <v>#N/A</v>
      </c>
      <c r="AJ36" s="134"/>
      <c r="AK36" s="146" t="s">
        <v>314</v>
      </c>
      <c r="AL36" s="137">
        <f t="shared" si="7"/>
        <v>0</v>
      </c>
      <c r="AM36" s="134">
        <f t="shared" si="8"/>
        <v>0</v>
      </c>
      <c r="AN36" s="134">
        <f t="shared" si="9"/>
        <v>0</v>
      </c>
      <c r="AO36" s="134">
        <f t="shared" si="10"/>
        <v>0</v>
      </c>
      <c r="AP36" s="134">
        <f t="shared" si="11"/>
        <v>0</v>
      </c>
      <c r="AQ36" s="134">
        <f t="shared" si="12"/>
        <v>0</v>
      </c>
      <c r="AR36" s="134">
        <f t="shared" si="13"/>
        <v>0</v>
      </c>
      <c r="AS36" s="134">
        <f t="shared" si="14"/>
        <v>0</v>
      </c>
      <c r="AT36" s="134">
        <f t="shared" si="15"/>
        <v>0</v>
      </c>
      <c r="AU36" s="134">
        <f t="shared" si="16"/>
        <v>0</v>
      </c>
      <c r="AV36" s="134">
        <f t="shared" si="17"/>
        <v>0</v>
      </c>
      <c r="AW36" s="134">
        <f t="shared" si="18"/>
        <v>0</v>
      </c>
      <c r="AX36" s="134">
        <f t="shared" si="19"/>
        <v>0</v>
      </c>
      <c r="AY36" s="134">
        <f t="shared" si="20"/>
        <v>0</v>
      </c>
      <c r="AZ36" s="134">
        <f t="shared" si="21"/>
        <v>0</v>
      </c>
      <c r="BA36" s="134">
        <f t="shared" si="22"/>
        <v>0</v>
      </c>
      <c r="BB36" s="134">
        <f t="shared" si="23"/>
        <v>0</v>
      </c>
      <c r="BC36" s="134">
        <f t="shared" si="24"/>
        <v>0</v>
      </c>
      <c r="BD36" s="134">
        <f t="shared" si="25"/>
        <v>0</v>
      </c>
      <c r="BE36" s="134">
        <f t="shared" si="26"/>
        <v>0</v>
      </c>
      <c r="BF36" s="134">
        <f t="shared" si="27"/>
        <v>0</v>
      </c>
      <c r="BG36" s="134">
        <f t="shared" si="28"/>
        <v>0</v>
      </c>
      <c r="BH36" s="134">
        <f t="shared" si="29"/>
        <v>0</v>
      </c>
      <c r="BI36" s="134">
        <f t="shared" si="30"/>
        <v>0</v>
      </c>
      <c r="BJ36" s="134">
        <f t="shared" si="31"/>
        <v>0</v>
      </c>
      <c r="BK36" s="134">
        <f t="shared" si="32"/>
        <v>0</v>
      </c>
      <c r="BL36" s="134">
        <f t="shared" si="33"/>
        <v>0</v>
      </c>
      <c r="BM36" s="134">
        <f t="shared" si="34"/>
        <v>0</v>
      </c>
      <c r="BN36" s="134">
        <f t="shared" si="35"/>
        <v>0</v>
      </c>
      <c r="BO36" s="134">
        <f t="shared" si="36"/>
        <v>0</v>
      </c>
      <c r="BP36" s="134">
        <f t="shared" si="37"/>
        <v>0</v>
      </c>
      <c r="BQ36" s="134">
        <f t="shared" si="38"/>
        <v>0</v>
      </c>
      <c r="BR36" s="134">
        <f t="shared" si="39"/>
        <v>0</v>
      </c>
      <c r="BS36" s="134">
        <f t="shared" si="40"/>
        <v>0</v>
      </c>
      <c r="BT36" s="134">
        <f t="shared" si="41"/>
        <v>0</v>
      </c>
      <c r="BU36" s="134">
        <f t="shared" si="42"/>
        <v>0</v>
      </c>
      <c r="BV36" s="134">
        <f t="shared" si="43"/>
        <v>0</v>
      </c>
      <c r="BW36" s="134">
        <f t="shared" si="44"/>
        <v>0</v>
      </c>
      <c r="BX36" s="134">
        <f t="shared" si="45"/>
        <v>0</v>
      </c>
      <c r="BY36" s="134">
        <f t="shared" si="46"/>
        <v>0</v>
      </c>
      <c r="BZ36" s="134">
        <f t="shared" si="47"/>
        <v>0</v>
      </c>
      <c r="CA36" s="134">
        <f t="shared" si="48"/>
        <v>0</v>
      </c>
      <c r="CB36" s="134">
        <f t="shared" si="49"/>
        <v>0</v>
      </c>
      <c r="CC36" s="134">
        <f t="shared" si="50"/>
        <v>0</v>
      </c>
      <c r="CD36" s="134">
        <f t="shared" si="51"/>
        <v>0</v>
      </c>
      <c r="CE36" s="134">
        <f t="shared" si="52"/>
        <v>0</v>
      </c>
      <c r="CF36" s="134">
        <f t="shared" si="53"/>
        <v>0</v>
      </c>
      <c r="CG36" s="134">
        <f t="shared" si="54"/>
        <v>0</v>
      </c>
      <c r="CH36" s="134">
        <f t="shared" si="55"/>
        <v>0</v>
      </c>
      <c r="CI36" s="134">
        <f t="shared" si="56"/>
        <v>0</v>
      </c>
      <c r="CJ36" s="134">
        <f t="shared" si="57"/>
        <v>0</v>
      </c>
      <c r="CK36" s="134"/>
    </row>
    <row r="37" ht="9.7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 t="str">
        <f>'Construction and Materials'!B51</f>
        <v>Pick Assembly</v>
      </c>
      <c r="Q37" s="134" t="str">
        <f>'Construction and Materials'!C51</f>
        <v>Pick Type</v>
      </c>
      <c r="R37" s="137" t="str">
        <f>'Construction and Materials'!D51</f>
        <v/>
      </c>
      <c r="S37" s="138">
        <f>IF(NOT(Q37="Pick Type"),VLOOKUP(Q37,'LCA Data'!$C$8:$S$107,6,FALSE)*Lists!R37,0)</f>
        <v>0</v>
      </c>
      <c r="T37" s="139">
        <f>IF(NOT(Q37="Pick Type"),VLOOKUP(Q37,'LCA Data'!$C$8:$S$107,10,FALSE)*Lists!R37,0)</f>
        <v>0</v>
      </c>
      <c r="U37" s="140">
        <f>IF(NOT(Q37="Pick Type"),VLOOKUP(Q37,'LCA Data'!$C$8:$S$107,14,FALSE)*Lists!R37,0)</f>
        <v>0</v>
      </c>
      <c r="V37" s="141">
        <f t="shared" si="2"/>
        <v>0</v>
      </c>
      <c r="W37" s="138">
        <f>IF(NOT(Q37="Pick Type"),VLOOKUP(Q37,'LCA Data'!$C$8:$S$107,7,FALSE)*Lists!R37,0)</f>
        <v>0</v>
      </c>
      <c r="X37" s="139">
        <f>IF(NOT(Q37="Pick Type"),VLOOKUP(Q37,'LCA Data'!$C$8:$S$107,11,FALSE)*Lists!R37,0)</f>
        <v>0</v>
      </c>
      <c r="Y37" s="140">
        <f>IF(NOT(Q37="Pick Type"),VLOOKUP(Q37,'LCA Data'!$C$8:$S$107,15,FALSE)*Lists!R37,0)</f>
        <v>0</v>
      </c>
      <c r="Z37" s="141">
        <f t="shared" si="3"/>
        <v>0</v>
      </c>
      <c r="AA37" s="138">
        <f>IF(NOT(Q37="Pick Type"),VLOOKUP(Q37,'LCA Data'!$C$8:$S$107,8,FALSE)*Lists!R37,0)</f>
        <v>0</v>
      </c>
      <c r="AB37" s="139">
        <f>IF(NOT(Q37="Pick Type"),VLOOKUP(Q37,'LCA Data'!$C$8:$S$107,12,FALSE)*Lists!R37,0)</f>
        <v>0</v>
      </c>
      <c r="AC37" s="140">
        <f>IF(NOT(Q37="Pick Type"),VLOOKUP(Q37,'LCA Data'!$C$8:$S$107,16,FALSE)*Lists!R37,0)</f>
        <v>0</v>
      </c>
      <c r="AD37" s="141">
        <f t="shared" si="4"/>
        <v>0</v>
      </c>
      <c r="AE37" s="142">
        <f>IF(NOT(Q37="Pick Type"),VLOOKUP(Q37,'LCA Data'!$C$8:$S$107,9,FALSE)*Lists!R37,0)</f>
        <v>0</v>
      </c>
      <c r="AF37" s="143">
        <f>IF(NOT(Q37="Pick Type"),VLOOKUP(Q37,'LCA Data'!$C$8:$S$107,13,FALSE)*Lists!R37,0)</f>
        <v>0</v>
      </c>
      <c r="AG37" s="144">
        <f>IF(NOT(Q37="Pick Type"),VLOOKUP(Q37,'LCA Data'!$C$8:$S$107,17,FALSE)*Lists!R37,0)</f>
        <v>0</v>
      </c>
      <c r="AH37" s="145">
        <f t="shared" si="5"/>
        <v>0</v>
      </c>
      <c r="AI37" s="134" t="str">
        <f t="shared" si="6"/>
        <v>#N/A</v>
      </c>
      <c r="AJ37" s="134"/>
      <c r="AK37" s="146" t="s">
        <v>314</v>
      </c>
      <c r="AL37" s="137">
        <f t="shared" si="7"/>
        <v>0</v>
      </c>
      <c r="AM37" s="134">
        <f t="shared" si="8"/>
        <v>0</v>
      </c>
      <c r="AN37" s="134">
        <f t="shared" si="9"/>
        <v>0</v>
      </c>
      <c r="AO37" s="134">
        <f t="shared" si="10"/>
        <v>0</v>
      </c>
      <c r="AP37" s="134">
        <f t="shared" si="11"/>
        <v>0</v>
      </c>
      <c r="AQ37" s="134">
        <f t="shared" si="12"/>
        <v>0</v>
      </c>
      <c r="AR37" s="134">
        <f t="shared" si="13"/>
        <v>0</v>
      </c>
      <c r="AS37" s="134">
        <f t="shared" si="14"/>
        <v>0</v>
      </c>
      <c r="AT37" s="134">
        <f t="shared" si="15"/>
        <v>0</v>
      </c>
      <c r="AU37" s="134">
        <f t="shared" si="16"/>
        <v>0</v>
      </c>
      <c r="AV37" s="134">
        <f t="shared" si="17"/>
        <v>0</v>
      </c>
      <c r="AW37" s="134">
        <f t="shared" si="18"/>
        <v>0</v>
      </c>
      <c r="AX37" s="134">
        <f t="shared" si="19"/>
        <v>0</v>
      </c>
      <c r="AY37" s="134">
        <f t="shared" si="20"/>
        <v>0</v>
      </c>
      <c r="AZ37" s="134">
        <f t="shared" si="21"/>
        <v>0</v>
      </c>
      <c r="BA37" s="134">
        <f t="shared" si="22"/>
        <v>0</v>
      </c>
      <c r="BB37" s="134">
        <f t="shared" si="23"/>
        <v>0</v>
      </c>
      <c r="BC37" s="134">
        <f t="shared" si="24"/>
        <v>0</v>
      </c>
      <c r="BD37" s="134">
        <f t="shared" si="25"/>
        <v>0</v>
      </c>
      <c r="BE37" s="134">
        <f t="shared" si="26"/>
        <v>0</v>
      </c>
      <c r="BF37" s="134">
        <f t="shared" si="27"/>
        <v>0</v>
      </c>
      <c r="BG37" s="134">
        <f t="shared" si="28"/>
        <v>0</v>
      </c>
      <c r="BH37" s="134">
        <f t="shared" si="29"/>
        <v>0</v>
      </c>
      <c r="BI37" s="134">
        <f t="shared" si="30"/>
        <v>0</v>
      </c>
      <c r="BJ37" s="134">
        <f t="shared" si="31"/>
        <v>0</v>
      </c>
      <c r="BK37" s="134">
        <f t="shared" si="32"/>
        <v>0</v>
      </c>
      <c r="BL37" s="134">
        <f t="shared" si="33"/>
        <v>0</v>
      </c>
      <c r="BM37" s="134">
        <f t="shared" si="34"/>
        <v>0</v>
      </c>
      <c r="BN37" s="134">
        <f t="shared" si="35"/>
        <v>0</v>
      </c>
      <c r="BO37" s="134">
        <f t="shared" si="36"/>
        <v>0</v>
      </c>
      <c r="BP37" s="134">
        <f t="shared" si="37"/>
        <v>0</v>
      </c>
      <c r="BQ37" s="134">
        <f t="shared" si="38"/>
        <v>0</v>
      </c>
      <c r="BR37" s="134">
        <f t="shared" si="39"/>
        <v>0</v>
      </c>
      <c r="BS37" s="134">
        <f t="shared" si="40"/>
        <v>0</v>
      </c>
      <c r="BT37" s="134">
        <f t="shared" si="41"/>
        <v>0</v>
      </c>
      <c r="BU37" s="134">
        <f t="shared" si="42"/>
        <v>0</v>
      </c>
      <c r="BV37" s="134">
        <f t="shared" si="43"/>
        <v>0</v>
      </c>
      <c r="BW37" s="134">
        <f t="shared" si="44"/>
        <v>0</v>
      </c>
      <c r="BX37" s="134">
        <f t="shared" si="45"/>
        <v>0</v>
      </c>
      <c r="BY37" s="134">
        <f t="shared" si="46"/>
        <v>0</v>
      </c>
      <c r="BZ37" s="134">
        <f t="shared" si="47"/>
        <v>0</v>
      </c>
      <c r="CA37" s="134">
        <f t="shared" si="48"/>
        <v>0</v>
      </c>
      <c r="CB37" s="134">
        <f t="shared" si="49"/>
        <v>0</v>
      </c>
      <c r="CC37" s="134">
        <f t="shared" si="50"/>
        <v>0</v>
      </c>
      <c r="CD37" s="134">
        <f t="shared" si="51"/>
        <v>0</v>
      </c>
      <c r="CE37" s="134">
        <f t="shared" si="52"/>
        <v>0</v>
      </c>
      <c r="CF37" s="134">
        <f t="shared" si="53"/>
        <v>0</v>
      </c>
      <c r="CG37" s="134">
        <f t="shared" si="54"/>
        <v>0</v>
      </c>
      <c r="CH37" s="134">
        <f t="shared" si="55"/>
        <v>0</v>
      </c>
      <c r="CI37" s="134">
        <f t="shared" si="56"/>
        <v>0</v>
      </c>
      <c r="CJ37" s="134">
        <f t="shared" si="57"/>
        <v>0</v>
      </c>
      <c r="CK37" s="134"/>
    </row>
    <row r="38" ht="9.7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 t="str">
        <f>'Construction and Materials'!B52</f>
        <v>Pick Assembly</v>
      </c>
      <c r="Q38" s="134" t="str">
        <f>'Construction and Materials'!C52</f>
        <v>Pick Type</v>
      </c>
      <c r="R38" s="137" t="str">
        <f>'Construction and Materials'!D52</f>
        <v/>
      </c>
      <c r="S38" s="138">
        <f>IF(NOT(Q38="Pick Type"),VLOOKUP(Q38,'LCA Data'!$C$8:$S$107,6,FALSE)*Lists!R38,0)</f>
        <v>0</v>
      </c>
      <c r="T38" s="139">
        <f>IF(NOT(Q38="Pick Type"),VLOOKUP(Q38,'LCA Data'!$C$8:$S$107,10,FALSE)*Lists!R38,0)</f>
        <v>0</v>
      </c>
      <c r="U38" s="140">
        <f>IF(NOT(Q38="Pick Type"),VLOOKUP(Q38,'LCA Data'!$C$8:$S$107,14,FALSE)*Lists!R38,0)</f>
        <v>0</v>
      </c>
      <c r="V38" s="141">
        <f t="shared" si="2"/>
        <v>0</v>
      </c>
      <c r="W38" s="138">
        <f>IF(NOT(Q38="Pick Type"),VLOOKUP(Q38,'LCA Data'!$C$8:$S$107,7,FALSE)*Lists!R38,0)</f>
        <v>0</v>
      </c>
      <c r="X38" s="139">
        <f>IF(NOT(Q38="Pick Type"),VLOOKUP(Q38,'LCA Data'!$C$8:$S$107,11,FALSE)*Lists!R38,0)</f>
        <v>0</v>
      </c>
      <c r="Y38" s="140">
        <f>IF(NOT(Q38="Pick Type"),VLOOKUP(Q38,'LCA Data'!$C$8:$S$107,15,FALSE)*Lists!R38,0)</f>
        <v>0</v>
      </c>
      <c r="Z38" s="141">
        <f t="shared" si="3"/>
        <v>0</v>
      </c>
      <c r="AA38" s="138">
        <f>IF(NOT(Q38="Pick Type"),VLOOKUP(Q38,'LCA Data'!$C$8:$S$107,8,FALSE)*Lists!R38,0)</f>
        <v>0</v>
      </c>
      <c r="AB38" s="139">
        <f>IF(NOT(Q38="Pick Type"),VLOOKUP(Q38,'LCA Data'!$C$8:$S$107,12,FALSE)*Lists!R38,0)</f>
        <v>0</v>
      </c>
      <c r="AC38" s="140">
        <f>IF(NOT(Q38="Pick Type"),VLOOKUP(Q38,'LCA Data'!$C$8:$S$107,16,FALSE)*Lists!R38,0)</f>
        <v>0</v>
      </c>
      <c r="AD38" s="141">
        <f t="shared" si="4"/>
        <v>0</v>
      </c>
      <c r="AE38" s="142">
        <f>IF(NOT(Q38="Pick Type"),VLOOKUP(Q38,'LCA Data'!$C$8:$S$107,9,FALSE)*Lists!R38,0)</f>
        <v>0</v>
      </c>
      <c r="AF38" s="143">
        <f>IF(NOT(Q38="Pick Type"),VLOOKUP(Q38,'LCA Data'!$C$8:$S$107,13,FALSE)*Lists!R38,0)</f>
        <v>0</v>
      </c>
      <c r="AG38" s="144">
        <f>IF(NOT(Q38="Pick Type"),VLOOKUP(Q38,'LCA Data'!$C$8:$S$107,17,FALSE)*Lists!R38,0)</f>
        <v>0</v>
      </c>
      <c r="AH38" s="145">
        <f t="shared" si="5"/>
        <v>0</v>
      </c>
      <c r="AI38" s="134" t="str">
        <f t="shared" si="6"/>
        <v>#N/A</v>
      </c>
      <c r="AJ38" s="134"/>
      <c r="AK38" s="146" t="s">
        <v>314</v>
      </c>
      <c r="AL38" s="137">
        <f t="shared" si="7"/>
        <v>0</v>
      </c>
      <c r="AM38" s="134">
        <f t="shared" si="8"/>
        <v>0</v>
      </c>
      <c r="AN38" s="134">
        <f t="shared" si="9"/>
        <v>0</v>
      </c>
      <c r="AO38" s="134">
        <f t="shared" si="10"/>
        <v>0</v>
      </c>
      <c r="AP38" s="134">
        <f t="shared" si="11"/>
        <v>0</v>
      </c>
      <c r="AQ38" s="134">
        <f t="shared" si="12"/>
        <v>0</v>
      </c>
      <c r="AR38" s="134">
        <f t="shared" si="13"/>
        <v>0</v>
      </c>
      <c r="AS38" s="134">
        <f t="shared" si="14"/>
        <v>0</v>
      </c>
      <c r="AT38" s="134">
        <f t="shared" si="15"/>
        <v>0</v>
      </c>
      <c r="AU38" s="134">
        <f t="shared" si="16"/>
        <v>0</v>
      </c>
      <c r="AV38" s="134">
        <f t="shared" si="17"/>
        <v>0</v>
      </c>
      <c r="AW38" s="134">
        <f t="shared" si="18"/>
        <v>0</v>
      </c>
      <c r="AX38" s="134">
        <f t="shared" si="19"/>
        <v>0</v>
      </c>
      <c r="AY38" s="134">
        <f t="shared" si="20"/>
        <v>0</v>
      </c>
      <c r="AZ38" s="134">
        <f t="shared" si="21"/>
        <v>0</v>
      </c>
      <c r="BA38" s="134">
        <f t="shared" si="22"/>
        <v>0</v>
      </c>
      <c r="BB38" s="134">
        <f t="shared" si="23"/>
        <v>0</v>
      </c>
      <c r="BC38" s="134">
        <f t="shared" si="24"/>
        <v>0</v>
      </c>
      <c r="BD38" s="134">
        <f t="shared" si="25"/>
        <v>0</v>
      </c>
      <c r="BE38" s="134">
        <f t="shared" si="26"/>
        <v>0</v>
      </c>
      <c r="BF38" s="134">
        <f t="shared" si="27"/>
        <v>0</v>
      </c>
      <c r="BG38" s="134">
        <f t="shared" si="28"/>
        <v>0</v>
      </c>
      <c r="BH38" s="134">
        <f t="shared" si="29"/>
        <v>0</v>
      </c>
      <c r="BI38" s="134">
        <f t="shared" si="30"/>
        <v>0</v>
      </c>
      <c r="BJ38" s="134">
        <f t="shared" si="31"/>
        <v>0</v>
      </c>
      <c r="BK38" s="134">
        <f t="shared" si="32"/>
        <v>0</v>
      </c>
      <c r="BL38" s="134">
        <f t="shared" si="33"/>
        <v>0</v>
      </c>
      <c r="BM38" s="134">
        <f t="shared" si="34"/>
        <v>0</v>
      </c>
      <c r="BN38" s="134">
        <f t="shared" si="35"/>
        <v>0</v>
      </c>
      <c r="BO38" s="134">
        <f t="shared" si="36"/>
        <v>0</v>
      </c>
      <c r="BP38" s="134">
        <f t="shared" si="37"/>
        <v>0</v>
      </c>
      <c r="BQ38" s="134">
        <f t="shared" si="38"/>
        <v>0</v>
      </c>
      <c r="BR38" s="134">
        <f t="shared" si="39"/>
        <v>0</v>
      </c>
      <c r="BS38" s="134">
        <f t="shared" si="40"/>
        <v>0</v>
      </c>
      <c r="BT38" s="134">
        <f t="shared" si="41"/>
        <v>0</v>
      </c>
      <c r="BU38" s="134">
        <f t="shared" si="42"/>
        <v>0</v>
      </c>
      <c r="BV38" s="134">
        <f t="shared" si="43"/>
        <v>0</v>
      </c>
      <c r="BW38" s="134">
        <f t="shared" si="44"/>
        <v>0</v>
      </c>
      <c r="BX38" s="134">
        <f t="shared" si="45"/>
        <v>0</v>
      </c>
      <c r="BY38" s="134">
        <f t="shared" si="46"/>
        <v>0</v>
      </c>
      <c r="BZ38" s="134">
        <f t="shared" si="47"/>
        <v>0</v>
      </c>
      <c r="CA38" s="134">
        <f t="shared" si="48"/>
        <v>0</v>
      </c>
      <c r="CB38" s="134">
        <f t="shared" si="49"/>
        <v>0</v>
      </c>
      <c r="CC38" s="134">
        <f t="shared" si="50"/>
        <v>0</v>
      </c>
      <c r="CD38" s="134">
        <f t="shared" si="51"/>
        <v>0</v>
      </c>
      <c r="CE38" s="134">
        <f t="shared" si="52"/>
        <v>0</v>
      </c>
      <c r="CF38" s="134">
        <f t="shared" si="53"/>
        <v>0</v>
      </c>
      <c r="CG38" s="134">
        <f t="shared" si="54"/>
        <v>0</v>
      </c>
      <c r="CH38" s="134">
        <f t="shared" si="55"/>
        <v>0</v>
      </c>
      <c r="CI38" s="134">
        <f t="shared" si="56"/>
        <v>0</v>
      </c>
      <c r="CJ38" s="134">
        <f t="shared" si="57"/>
        <v>0</v>
      </c>
      <c r="CK38" s="134"/>
    </row>
    <row r="39" ht="9.7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 t="str">
        <f>'Construction and Materials'!B53</f>
        <v>Pick Assembly</v>
      </c>
      <c r="Q39" s="134" t="str">
        <f>'Construction and Materials'!C53</f>
        <v>Pick Type</v>
      </c>
      <c r="R39" s="137" t="str">
        <f>'Construction and Materials'!D53</f>
        <v/>
      </c>
      <c r="S39" s="138">
        <f>IF(NOT(Q39="Pick Type"),VLOOKUP(Q39,'LCA Data'!$C$8:$S$107,6,FALSE)*Lists!R39,0)</f>
        <v>0</v>
      </c>
      <c r="T39" s="139">
        <f>IF(NOT(Q39="Pick Type"),VLOOKUP(Q39,'LCA Data'!$C$8:$S$107,10,FALSE)*Lists!R39,0)</f>
        <v>0</v>
      </c>
      <c r="U39" s="140">
        <f>IF(NOT(Q39="Pick Type"),VLOOKUP(Q39,'LCA Data'!$C$8:$S$107,14,FALSE)*Lists!R39,0)</f>
        <v>0</v>
      </c>
      <c r="V39" s="141">
        <f t="shared" si="2"/>
        <v>0</v>
      </c>
      <c r="W39" s="138">
        <f>IF(NOT(Q39="Pick Type"),VLOOKUP(Q39,'LCA Data'!$C$8:$S$107,7,FALSE)*Lists!R39,0)</f>
        <v>0</v>
      </c>
      <c r="X39" s="139">
        <f>IF(NOT(Q39="Pick Type"),VLOOKUP(Q39,'LCA Data'!$C$8:$S$107,11,FALSE)*Lists!R39,0)</f>
        <v>0</v>
      </c>
      <c r="Y39" s="140">
        <f>IF(NOT(Q39="Pick Type"),VLOOKUP(Q39,'LCA Data'!$C$8:$S$107,15,FALSE)*Lists!R39,0)</f>
        <v>0</v>
      </c>
      <c r="Z39" s="141">
        <f t="shared" si="3"/>
        <v>0</v>
      </c>
      <c r="AA39" s="138">
        <f>IF(NOT(Q39="Pick Type"),VLOOKUP(Q39,'LCA Data'!$C$8:$S$107,8,FALSE)*Lists!R39,0)</f>
        <v>0</v>
      </c>
      <c r="AB39" s="139">
        <f>IF(NOT(Q39="Pick Type"),VLOOKUP(Q39,'LCA Data'!$C$8:$S$107,12,FALSE)*Lists!R39,0)</f>
        <v>0</v>
      </c>
      <c r="AC39" s="140">
        <f>IF(NOT(Q39="Pick Type"),VLOOKUP(Q39,'LCA Data'!$C$8:$S$107,16,FALSE)*Lists!R39,0)</f>
        <v>0</v>
      </c>
      <c r="AD39" s="141">
        <f t="shared" si="4"/>
        <v>0</v>
      </c>
      <c r="AE39" s="142">
        <f>IF(NOT(Q39="Pick Type"),VLOOKUP(Q39,'LCA Data'!$C$8:$S$107,9,FALSE)*Lists!R39,0)</f>
        <v>0</v>
      </c>
      <c r="AF39" s="143">
        <f>IF(NOT(Q39="Pick Type"),VLOOKUP(Q39,'LCA Data'!$C$8:$S$107,13,FALSE)*Lists!R39,0)</f>
        <v>0</v>
      </c>
      <c r="AG39" s="144">
        <f>IF(NOT(Q39="Pick Type"),VLOOKUP(Q39,'LCA Data'!$C$8:$S$107,17,FALSE)*Lists!R39,0)</f>
        <v>0</v>
      </c>
      <c r="AH39" s="145">
        <f t="shared" si="5"/>
        <v>0</v>
      </c>
      <c r="AI39" s="134" t="str">
        <f t="shared" si="6"/>
        <v>#N/A</v>
      </c>
      <c r="AJ39" s="134"/>
      <c r="AK39" s="146" t="s">
        <v>314</v>
      </c>
      <c r="AL39" s="137">
        <f t="shared" si="7"/>
        <v>0</v>
      </c>
      <c r="AM39" s="134">
        <f t="shared" si="8"/>
        <v>0</v>
      </c>
      <c r="AN39" s="134">
        <f t="shared" si="9"/>
        <v>0</v>
      </c>
      <c r="AO39" s="134">
        <f t="shared" si="10"/>
        <v>0</v>
      </c>
      <c r="AP39" s="134">
        <f t="shared" si="11"/>
        <v>0</v>
      </c>
      <c r="AQ39" s="134">
        <f t="shared" si="12"/>
        <v>0</v>
      </c>
      <c r="AR39" s="134">
        <f t="shared" si="13"/>
        <v>0</v>
      </c>
      <c r="AS39" s="134">
        <f t="shared" si="14"/>
        <v>0</v>
      </c>
      <c r="AT39" s="134">
        <f t="shared" si="15"/>
        <v>0</v>
      </c>
      <c r="AU39" s="134">
        <f t="shared" si="16"/>
        <v>0</v>
      </c>
      <c r="AV39" s="134">
        <f t="shared" si="17"/>
        <v>0</v>
      </c>
      <c r="AW39" s="134">
        <f t="shared" si="18"/>
        <v>0</v>
      </c>
      <c r="AX39" s="134">
        <f t="shared" si="19"/>
        <v>0</v>
      </c>
      <c r="AY39" s="134">
        <f t="shared" si="20"/>
        <v>0</v>
      </c>
      <c r="AZ39" s="134">
        <f t="shared" si="21"/>
        <v>0</v>
      </c>
      <c r="BA39" s="134">
        <f t="shared" si="22"/>
        <v>0</v>
      </c>
      <c r="BB39" s="134">
        <f t="shared" si="23"/>
        <v>0</v>
      </c>
      <c r="BC39" s="134">
        <f t="shared" si="24"/>
        <v>0</v>
      </c>
      <c r="BD39" s="134">
        <f t="shared" si="25"/>
        <v>0</v>
      </c>
      <c r="BE39" s="134">
        <f t="shared" si="26"/>
        <v>0</v>
      </c>
      <c r="BF39" s="134">
        <f t="shared" si="27"/>
        <v>0</v>
      </c>
      <c r="BG39" s="134">
        <f t="shared" si="28"/>
        <v>0</v>
      </c>
      <c r="BH39" s="134">
        <f t="shared" si="29"/>
        <v>0</v>
      </c>
      <c r="BI39" s="134">
        <f t="shared" si="30"/>
        <v>0</v>
      </c>
      <c r="BJ39" s="134">
        <f t="shared" si="31"/>
        <v>0</v>
      </c>
      <c r="BK39" s="134">
        <f t="shared" si="32"/>
        <v>0</v>
      </c>
      <c r="BL39" s="134">
        <f t="shared" si="33"/>
        <v>0</v>
      </c>
      <c r="BM39" s="134">
        <f t="shared" si="34"/>
        <v>0</v>
      </c>
      <c r="BN39" s="134">
        <f t="shared" si="35"/>
        <v>0</v>
      </c>
      <c r="BO39" s="134">
        <f t="shared" si="36"/>
        <v>0</v>
      </c>
      <c r="BP39" s="134">
        <f t="shared" si="37"/>
        <v>0</v>
      </c>
      <c r="BQ39" s="134">
        <f t="shared" si="38"/>
        <v>0</v>
      </c>
      <c r="BR39" s="134">
        <f t="shared" si="39"/>
        <v>0</v>
      </c>
      <c r="BS39" s="134">
        <f t="shared" si="40"/>
        <v>0</v>
      </c>
      <c r="BT39" s="134">
        <f t="shared" si="41"/>
        <v>0</v>
      </c>
      <c r="BU39" s="134">
        <f t="shared" si="42"/>
        <v>0</v>
      </c>
      <c r="BV39" s="134">
        <f t="shared" si="43"/>
        <v>0</v>
      </c>
      <c r="BW39" s="134">
        <f t="shared" si="44"/>
        <v>0</v>
      </c>
      <c r="BX39" s="134">
        <f t="shared" si="45"/>
        <v>0</v>
      </c>
      <c r="BY39" s="134">
        <f t="shared" si="46"/>
        <v>0</v>
      </c>
      <c r="BZ39" s="134">
        <f t="shared" si="47"/>
        <v>0</v>
      </c>
      <c r="CA39" s="134">
        <f t="shared" si="48"/>
        <v>0</v>
      </c>
      <c r="CB39" s="134">
        <f t="shared" si="49"/>
        <v>0</v>
      </c>
      <c r="CC39" s="134">
        <f t="shared" si="50"/>
        <v>0</v>
      </c>
      <c r="CD39" s="134">
        <f t="shared" si="51"/>
        <v>0</v>
      </c>
      <c r="CE39" s="134">
        <f t="shared" si="52"/>
        <v>0</v>
      </c>
      <c r="CF39" s="134">
        <f t="shared" si="53"/>
        <v>0</v>
      </c>
      <c r="CG39" s="134">
        <f t="shared" si="54"/>
        <v>0</v>
      </c>
      <c r="CH39" s="134">
        <f t="shared" si="55"/>
        <v>0</v>
      </c>
      <c r="CI39" s="134">
        <f t="shared" si="56"/>
        <v>0</v>
      </c>
      <c r="CJ39" s="134">
        <f t="shared" si="57"/>
        <v>0</v>
      </c>
      <c r="CK39" s="134"/>
    </row>
    <row r="40" ht="9.7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 t="str">
        <f>'Construction and Materials'!B54</f>
        <v>Pick Assembly</v>
      </c>
      <c r="Q40" s="134" t="str">
        <f>'Construction and Materials'!C54</f>
        <v>Pick Type</v>
      </c>
      <c r="R40" s="137" t="str">
        <f>'Construction and Materials'!D54</f>
        <v/>
      </c>
      <c r="S40" s="138">
        <f>IF(NOT(Q40="Pick Type"),VLOOKUP(Q40,'LCA Data'!$C$8:$S$107,6,FALSE)*Lists!R40,0)</f>
        <v>0</v>
      </c>
      <c r="T40" s="139">
        <f>IF(NOT(Q40="Pick Type"),VLOOKUP(Q40,'LCA Data'!$C$8:$S$107,10,FALSE)*Lists!R40,0)</f>
        <v>0</v>
      </c>
      <c r="U40" s="140">
        <f>IF(NOT(Q40="Pick Type"),VLOOKUP(Q40,'LCA Data'!$C$8:$S$107,14,FALSE)*Lists!R40,0)</f>
        <v>0</v>
      </c>
      <c r="V40" s="141">
        <f t="shared" si="2"/>
        <v>0</v>
      </c>
      <c r="W40" s="138">
        <f>IF(NOT(Q40="Pick Type"),VLOOKUP(Q40,'LCA Data'!$C$8:$S$107,7,FALSE)*Lists!R40,0)</f>
        <v>0</v>
      </c>
      <c r="X40" s="139">
        <f>IF(NOT(Q40="Pick Type"),VLOOKUP(Q40,'LCA Data'!$C$8:$S$107,11,FALSE)*Lists!R40,0)</f>
        <v>0</v>
      </c>
      <c r="Y40" s="140">
        <f>IF(NOT(Q40="Pick Type"),VLOOKUP(Q40,'LCA Data'!$C$8:$S$107,15,FALSE)*Lists!R40,0)</f>
        <v>0</v>
      </c>
      <c r="Z40" s="141">
        <f t="shared" si="3"/>
        <v>0</v>
      </c>
      <c r="AA40" s="138">
        <f>IF(NOT(Q40="Pick Type"),VLOOKUP(Q40,'LCA Data'!$C$8:$S$107,8,FALSE)*Lists!R40,0)</f>
        <v>0</v>
      </c>
      <c r="AB40" s="139">
        <f>IF(NOT(Q40="Pick Type"),VLOOKUP(Q40,'LCA Data'!$C$8:$S$107,12,FALSE)*Lists!R40,0)</f>
        <v>0</v>
      </c>
      <c r="AC40" s="140">
        <f>IF(NOT(Q40="Pick Type"),VLOOKUP(Q40,'LCA Data'!$C$8:$S$107,16,FALSE)*Lists!R40,0)</f>
        <v>0</v>
      </c>
      <c r="AD40" s="141">
        <f t="shared" si="4"/>
        <v>0</v>
      </c>
      <c r="AE40" s="142">
        <f>IF(NOT(Q40="Pick Type"),VLOOKUP(Q40,'LCA Data'!$C$8:$S$107,9,FALSE)*Lists!R40,0)</f>
        <v>0</v>
      </c>
      <c r="AF40" s="143">
        <f>IF(NOT(Q40="Pick Type"),VLOOKUP(Q40,'LCA Data'!$C$8:$S$107,13,FALSE)*Lists!R40,0)</f>
        <v>0</v>
      </c>
      <c r="AG40" s="144">
        <f>IF(NOT(Q40="Pick Type"),VLOOKUP(Q40,'LCA Data'!$C$8:$S$107,17,FALSE)*Lists!R40,0)</f>
        <v>0</v>
      </c>
      <c r="AH40" s="145">
        <f t="shared" si="5"/>
        <v>0</v>
      </c>
      <c r="AI40" s="134" t="str">
        <f t="shared" si="6"/>
        <v>#N/A</v>
      </c>
      <c r="AJ40" s="134"/>
      <c r="AK40" s="146" t="s">
        <v>314</v>
      </c>
      <c r="AL40" s="137">
        <f t="shared" si="7"/>
        <v>0</v>
      </c>
      <c r="AM40" s="134">
        <f t="shared" si="8"/>
        <v>0</v>
      </c>
      <c r="AN40" s="134">
        <f t="shared" si="9"/>
        <v>0</v>
      </c>
      <c r="AO40" s="134">
        <f t="shared" si="10"/>
        <v>0</v>
      </c>
      <c r="AP40" s="134">
        <f t="shared" si="11"/>
        <v>0</v>
      </c>
      <c r="AQ40" s="134">
        <f t="shared" si="12"/>
        <v>0</v>
      </c>
      <c r="AR40" s="134">
        <f t="shared" si="13"/>
        <v>0</v>
      </c>
      <c r="AS40" s="134">
        <f t="shared" si="14"/>
        <v>0</v>
      </c>
      <c r="AT40" s="134">
        <f t="shared" si="15"/>
        <v>0</v>
      </c>
      <c r="AU40" s="134">
        <f t="shared" si="16"/>
        <v>0</v>
      </c>
      <c r="AV40" s="134">
        <f t="shared" si="17"/>
        <v>0</v>
      </c>
      <c r="AW40" s="134">
        <f t="shared" si="18"/>
        <v>0</v>
      </c>
      <c r="AX40" s="134">
        <f t="shared" si="19"/>
        <v>0</v>
      </c>
      <c r="AY40" s="134">
        <f t="shared" si="20"/>
        <v>0</v>
      </c>
      <c r="AZ40" s="134">
        <f t="shared" si="21"/>
        <v>0</v>
      </c>
      <c r="BA40" s="134">
        <f t="shared" si="22"/>
        <v>0</v>
      </c>
      <c r="BB40" s="134">
        <f t="shared" si="23"/>
        <v>0</v>
      </c>
      <c r="BC40" s="134">
        <f t="shared" si="24"/>
        <v>0</v>
      </c>
      <c r="BD40" s="134">
        <f t="shared" si="25"/>
        <v>0</v>
      </c>
      <c r="BE40" s="134">
        <f t="shared" si="26"/>
        <v>0</v>
      </c>
      <c r="BF40" s="134">
        <f t="shared" si="27"/>
        <v>0</v>
      </c>
      <c r="BG40" s="134">
        <f t="shared" si="28"/>
        <v>0</v>
      </c>
      <c r="BH40" s="134">
        <f t="shared" si="29"/>
        <v>0</v>
      </c>
      <c r="BI40" s="134">
        <f t="shared" si="30"/>
        <v>0</v>
      </c>
      <c r="BJ40" s="134">
        <f t="shared" si="31"/>
        <v>0</v>
      </c>
      <c r="BK40" s="134">
        <f t="shared" si="32"/>
        <v>0</v>
      </c>
      <c r="BL40" s="134">
        <f t="shared" si="33"/>
        <v>0</v>
      </c>
      <c r="BM40" s="134">
        <f t="shared" si="34"/>
        <v>0</v>
      </c>
      <c r="BN40" s="134">
        <f t="shared" si="35"/>
        <v>0</v>
      </c>
      <c r="BO40" s="134">
        <f t="shared" si="36"/>
        <v>0</v>
      </c>
      <c r="BP40" s="134">
        <f t="shared" si="37"/>
        <v>0</v>
      </c>
      <c r="BQ40" s="134">
        <f t="shared" si="38"/>
        <v>0</v>
      </c>
      <c r="BR40" s="134">
        <f t="shared" si="39"/>
        <v>0</v>
      </c>
      <c r="BS40" s="134">
        <f t="shared" si="40"/>
        <v>0</v>
      </c>
      <c r="BT40" s="134">
        <f t="shared" si="41"/>
        <v>0</v>
      </c>
      <c r="BU40" s="134">
        <f t="shared" si="42"/>
        <v>0</v>
      </c>
      <c r="BV40" s="134">
        <f t="shared" si="43"/>
        <v>0</v>
      </c>
      <c r="BW40" s="134">
        <f t="shared" si="44"/>
        <v>0</v>
      </c>
      <c r="BX40" s="134">
        <f t="shared" si="45"/>
        <v>0</v>
      </c>
      <c r="BY40" s="134">
        <f t="shared" si="46"/>
        <v>0</v>
      </c>
      <c r="BZ40" s="134">
        <f t="shared" si="47"/>
        <v>0</v>
      </c>
      <c r="CA40" s="134">
        <f t="shared" si="48"/>
        <v>0</v>
      </c>
      <c r="CB40" s="134">
        <f t="shared" si="49"/>
        <v>0</v>
      </c>
      <c r="CC40" s="134">
        <f t="shared" si="50"/>
        <v>0</v>
      </c>
      <c r="CD40" s="134">
        <f t="shared" si="51"/>
        <v>0</v>
      </c>
      <c r="CE40" s="134">
        <f t="shared" si="52"/>
        <v>0</v>
      </c>
      <c r="CF40" s="134">
        <f t="shared" si="53"/>
        <v>0</v>
      </c>
      <c r="CG40" s="134">
        <f t="shared" si="54"/>
        <v>0</v>
      </c>
      <c r="CH40" s="134">
        <f t="shared" si="55"/>
        <v>0</v>
      </c>
      <c r="CI40" s="134">
        <f t="shared" si="56"/>
        <v>0</v>
      </c>
      <c r="CJ40" s="134">
        <f t="shared" si="57"/>
        <v>0</v>
      </c>
      <c r="CK40" s="134"/>
    </row>
    <row r="41" ht="9.7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 t="str">
        <f>'Construction and Materials'!B55</f>
        <v>Pick Assembly</v>
      </c>
      <c r="Q41" s="134" t="str">
        <f>'Construction and Materials'!C55</f>
        <v>Pick Type</v>
      </c>
      <c r="R41" s="137" t="str">
        <f>'Construction and Materials'!D55</f>
        <v/>
      </c>
      <c r="S41" s="138">
        <f>IF(NOT(Q41="Pick Type"),VLOOKUP(Q41,'LCA Data'!$C$8:$S$107,6,FALSE)*Lists!R41,0)</f>
        <v>0</v>
      </c>
      <c r="T41" s="139">
        <f>IF(NOT(Q41="Pick Type"),VLOOKUP(Q41,'LCA Data'!$C$8:$S$107,10,FALSE)*Lists!R41,0)</f>
        <v>0</v>
      </c>
      <c r="U41" s="140">
        <f>IF(NOT(Q41="Pick Type"),VLOOKUP(Q41,'LCA Data'!$C$8:$S$107,14,FALSE)*Lists!R41,0)</f>
        <v>0</v>
      </c>
      <c r="V41" s="141">
        <f t="shared" si="2"/>
        <v>0</v>
      </c>
      <c r="W41" s="138">
        <f>IF(NOT(Q41="Pick Type"),VLOOKUP(Q41,'LCA Data'!$C$8:$S$107,7,FALSE)*Lists!R41,0)</f>
        <v>0</v>
      </c>
      <c r="X41" s="139">
        <f>IF(NOT(Q41="Pick Type"),VLOOKUP(Q41,'LCA Data'!$C$8:$S$107,11,FALSE)*Lists!R41,0)</f>
        <v>0</v>
      </c>
      <c r="Y41" s="140">
        <f>IF(NOT(Q41="Pick Type"),VLOOKUP(Q41,'LCA Data'!$C$8:$S$107,15,FALSE)*Lists!R41,0)</f>
        <v>0</v>
      </c>
      <c r="Z41" s="141">
        <f t="shared" si="3"/>
        <v>0</v>
      </c>
      <c r="AA41" s="138">
        <f>IF(NOT(Q41="Pick Type"),VLOOKUP(Q41,'LCA Data'!$C$8:$S$107,8,FALSE)*Lists!R41,0)</f>
        <v>0</v>
      </c>
      <c r="AB41" s="139">
        <f>IF(NOT(Q41="Pick Type"),VLOOKUP(Q41,'LCA Data'!$C$8:$S$107,12,FALSE)*Lists!R41,0)</f>
        <v>0</v>
      </c>
      <c r="AC41" s="140">
        <f>IF(NOT(Q41="Pick Type"),VLOOKUP(Q41,'LCA Data'!$C$8:$S$107,16,FALSE)*Lists!R41,0)</f>
        <v>0</v>
      </c>
      <c r="AD41" s="141">
        <f t="shared" si="4"/>
        <v>0</v>
      </c>
      <c r="AE41" s="142">
        <f>IF(NOT(Q41="Pick Type"),VLOOKUP(Q41,'LCA Data'!$C$8:$S$107,9,FALSE)*Lists!R41,0)</f>
        <v>0</v>
      </c>
      <c r="AF41" s="143">
        <f>IF(NOT(Q41="Pick Type"),VLOOKUP(Q41,'LCA Data'!$C$8:$S$107,13,FALSE)*Lists!R41,0)</f>
        <v>0</v>
      </c>
      <c r="AG41" s="144">
        <f>IF(NOT(Q41="Pick Type"),VLOOKUP(Q41,'LCA Data'!$C$8:$S$107,17,FALSE)*Lists!R41,0)</f>
        <v>0</v>
      </c>
      <c r="AH41" s="145">
        <f t="shared" si="5"/>
        <v>0</v>
      </c>
      <c r="AI41" s="134" t="str">
        <f t="shared" si="6"/>
        <v>#N/A</v>
      </c>
      <c r="AJ41" s="134"/>
      <c r="AK41" s="146" t="s">
        <v>314</v>
      </c>
      <c r="AL41" s="137">
        <f t="shared" si="7"/>
        <v>0</v>
      </c>
      <c r="AM41" s="134">
        <f t="shared" si="8"/>
        <v>0</v>
      </c>
      <c r="AN41" s="134">
        <f t="shared" si="9"/>
        <v>0</v>
      </c>
      <c r="AO41" s="134">
        <f t="shared" si="10"/>
        <v>0</v>
      </c>
      <c r="AP41" s="134">
        <f t="shared" si="11"/>
        <v>0</v>
      </c>
      <c r="AQ41" s="134">
        <f t="shared" si="12"/>
        <v>0</v>
      </c>
      <c r="AR41" s="134">
        <f t="shared" si="13"/>
        <v>0</v>
      </c>
      <c r="AS41" s="134">
        <f t="shared" si="14"/>
        <v>0</v>
      </c>
      <c r="AT41" s="134">
        <f t="shared" si="15"/>
        <v>0</v>
      </c>
      <c r="AU41" s="134">
        <f t="shared" si="16"/>
        <v>0</v>
      </c>
      <c r="AV41" s="134">
        <f t="shared" si="17"/>
        <v>0</v>
      </c>
      <c r="AW41" s="134">
        <f t="shared" si="18"/>
        <v>0</v>
      </c>
      <c r="AX41" s="134">
        <f t="shared" si="19"/>
        <v>0</v>
      </c>
      <c r="AY41" s="134">
        <f t="shared" si="20"/>
        <v>0</v>
      </c>
      <c r="AZ41" s="134">
        <f t="shared" si="21"/>
        <v>0</v>
      </c>
      <c r="BA41" s="134">
        <f t="shared" si="22"/>
        <v>0</v>
      </c>
      <c r="BB41" s="134">
        <f t="shared" si="23"/>
        <v>0</v>
      </c>
      <c r="BC41" s="134">
        <f t="shared" si="24"/>
        <v>0</v>
      </c>
      <c r="BD41" s="134">
        <f t="shared" si="25"/>
        <v>0</v>
      </c>
      <c r="BE41" s="134">
        <f t="shared" si="26"/>
        <v>0</v>
      </c>
      <c r="BF41" s="134">
        <f t="shared" si="27"/>
        <v>0</v>
      </c>
      <c r="BG41" s="134">
        <f t="shared" si="28"/>
        <v>0</v>
      </c>
      <c r="BH41" s="134">
        <f t="shared" si="29"/>
        <v>0</v>
      </c>
      <c r="BI41" s="134">
        <f t="shared" si="30"/>
        <v>0</v>
      </c>
      <c r="BJ41" s="134">
        <f t="shared" si="31"/>
        <v>0</v>
      </c>
      <c r="BK41" s="134">
        <f t="shared" si="32"/>
        <v>0</v>
      </c>
      <c r="BL41" s="134">
        <f t="shared" si="33"/>
        <v>0</v>
      </c>
      <c r="BM41" s="134">
        <f t="shared" si="34"/>
        <v>0</v>
      </c>
      <c r="BN41" s="134">
        <f t="shared" si="35"/>
        <v>0</v>
      </c>
      <c r="BO41" s="134">
        <f t="shared" si="36"/>
        <v>0</v>
      </c>
      <c r="BP41" s="134">
        <f t="shared" si="37"/>
        <v>0</v>
      </c>
      <c r="BQ41" s="134">
        <f t="shared" si="38"/>
        <v>0</v>
      </c>
      <c r="BR41" s="134">
        <f t="shared" si="39"/>
        <v>0</v>
      </c>
      <c r="BS41" s="134">
        <f t="shared" si="40"/>
        <v>0</v>
      </c>
      <c r="BT41" s="134">
        <f t="shared" si="41"/>
        <v>0</v>
      </c>
      <c r="BU41" s="134">
        <f t="shared" si="42"/>
        <v>0</v>
      </c>
      <c r="BV41" s="134">
        <f t="shared" si="43"/>
        <v>0</v>
      </c>
      <c r="BW41" s="134">
        <f t="shared" si="44"/>
        <v>0</v>
      </c>
      <c r="BX41" s="134">
        <f t="shared" si="45"/>
        <v>0</v>
      </c>
      <c r="BY41" s="134">
        <f t="shared" si="46"/>
        <v>0</v>
      </c>
      <c r="BZ41" s="134">
        <f t="shared" si="47"/>
        <v>0</v>
      </c>
      <c r="CA41" s="134">
        <f t="shared" si="48"/>
        <v>0</v>
      </c>
      <c r="CB41" s="134">
        <f t="shared" si="49"/>
        <v>0</v>
      </c>
      <c r="CC41" s="134">
        <f t="shared" si="50"/>
        <v>0</v>
      </c>
      <c r="CD41" s="134">
        <f t="shared" si="51"/>
        <v>0</v>
      </c>
      <c r="CE41" s="134">
        <f t="shared" si="52"/>
        <v>0</v>
      </c>
      <c r="CF41" s="134">
        <f t="shared" si="53"/>
        <v>0</v>
      </c>
      <c r="CG41" s="134">
        <f t="shared" si="54"/>
        <v>0</v>
      </c>
      <c r="CH41" s="134">
        <f t="shared" si="55"/>
        <v>0</v>
      </c>
      <c r="CI41" s="134">
        <f t="shared" si="56"/>
        <v>0</v>
      </c>
      <c r="CJ41" s="134">
        <f t="shared" si="57"/>
        <v>0</v>
      </c>
      <c r="CK41" s="134"/>
    </row>
    <row r="42" ht="9.7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 t="str">
        <f>'Construction and Materials'!B56</f>
        <v>Pick Assembly</v>
      </c>
      <c r="Q42" s="134" t="str">
        <f>'Construction and Materials'!C56</f>
        <v>Pick Type</v>
      </c>
      <c r="R42" s="137" t="str">
        <f>'Construction and Materials'!D56</f>
        <v/>
      </c>
      <c r="S42" s="138">
        <f>IF(NOT(Q42="Pick Type"),VLOOKUP(Q42,'LCA Data'!$C$8:$S$107,6,FALSE)*Lists!R42,0)</f>
        <v>0</v>
      </c>
      <c r="T42" s="139">
        <f>IF(NOT(Q42="Pick Type"),VLOOKUP(Q42,'LCA Data'!$C$8:$S$107,10,FALSE)*Lists!R42,0)</f>
        <v>0</v>
      </c>
      <c r="U42" s="140">
        <f>IF(NOT(Q42="Pick Type"),VLOOKUP(Q42,'LCA Data'!$C$8:$S$107,14,FALSE)*Lists!R42,0)</f>
        <v>0</v>
      </c>
      <c r="V42" s="141">
        <f t="shared" si="2"/>
        <v>0</v>
      </c>
      <c r="W42" s="138">
        <f>IF(NOT(Q42="Pick Type"),VLOOKUP(Q42,'LCA Data'!$C$8:$S$107,7,FALSE)*Lists!R42,0)</f>
        <v>0</v>
      </c>
      <c r="X42" s="139">
        <f>IF(NOT(Q42="Pick Type"),VLOOKUP(Q42,'LCA Data'!$C$8:$S$107,11,FALSE)*Lists!R42,0)</f>
        <v>0</v>
      </c>
      <c r="Y42" s="140">
        <f>IF(NOT(Q42="Pick Type"),VLOOKUP(Q42,'LCA Data'!$C$8:$S$107,15,FALSE)*Lists!R42,0)</f>
        <v>0</v>
      </c>
      <c r="Z42" s="141">
        <f t="shared" si="3"/>
        <v>0</v>
      </c>
      <c r="AA42" s="138">
        <f>IF(NOT(Q42="Pick Type"),VLOOKUP(Q42,'LCA Data'!$C$8:$S$107,8,FALSE)*Lists!R42,0)</f>
        <v>0</v>
      </c>
      <c r="AB42" s="139">
        <f>IF(NOT(Q42="Pick Type"),VLOOKUP(Q42,'LCA Data'!$C$8:$S$107,12,FALSE)*Lists!R42,0)</f>
        <v>0</v>
      </c>
      <c r="AC42" s="140">
        <f>IF(NOT(Q42="Pick Type"),VLOOKUP(Q42,'LCA Data'!$C$8:$S$107,16,FALSE)*Lists!R42,0)</f>
        <v>0</v>
      </c>
      <c r="AD42" s="141">
        <f t="shared" si="4"/>
        <v>0</v>
      </c>
      <c r="AE42" s="142">
        <f>IF(NOT(Q42="Pick Type"),VLOOKUP(Q42,'LCA Data'!$C$8:$S$107,9,FALSE)*Lists!R42,0)</f>
        <v>0</v>
      </c>
      <c r="AF42" s="143">
        <f>IF(NOT(Q42="Pick Type"),VLOOKUP(Q42,'LCA Data'!$C$8:$S$107,13,FALSE)*Lists!R42,0)</f>
        <v>0</v>
      </c>
      <c r="AG42" s="144">
        <f>IF(NOT(Q42="Pick Type"),VLOOKUP(Q42,'LCA Data'!$C$8:$S$107,17,FALSE)*Lists!R42,0)</f>
        <v>0</v>
      </c>
      <c r="AH42" s="145">
        <f t="shared" si="5"/>
        <v>0</v>
      </c>
      <c r="AI42" s="134" t="str">
        <f t="shared" si="6"/>
        <v>#N/A</v>
      </c>
      <c r="AJ42" s="134"/>
      <c r="AK42" s="146" t="s">
        <v>314</v>
      </c>
      <c r="AL42" s="137">
        <f t="shared" si="7"/>
        <v>0</v>
      </c>
      <c r="AM42" s="134">
        <f t="shared" si="8"/>
        <v>0</v>
      </c>
      <c r="AN42" s="134">
        <f t="shared" si="9"/>
        <v>0</v>
      </c>
      <c r="AO42" s="134">
        <f t="shared" si="10"/>
        <v>0</v>
      </c>
      <c r="AP42" s="134">
        <f t="shared" si="11"/>
        <v>0</v>
      </c>
      <c r="AQ42" s="134">
        <f t="shared" si="12"/>
        <v>0</v>
      </c>
      <c r="AR42" s="134">
        <f t="shared" si="13"/>
        <v>0</v>
      </c>
      <c r="AS42" s="134">
        <f t="shared" si="14"/>
        <v>0</v>
      </c>
      <c r="AT42" s="134">
        <f t="shared" si="15"/>
        <v>0</v>
      </c>
      <c r="AU42" s="134">
        <f t="shared" si="16"/>
        <v>0</v>
      </c>
      <c r="AV42" s="134">
        <f t="shared" si="17"/>
        <v>0</v>
      </c>
      <c r="AW42" s="134">
        <f t="shared" si="18"/>
        <v>0</v>
      </c>
      <c r="AX42" s="134">
        <f t="shared" si="19"/>
        <v>0</v>
      </c>
      <c r="AY42" s="134">
        <f t="shared" si="20"/>
        <v>0</v>
      </c>
      <c r="AZ42" s="134">
        <f t="shared" si="21"/>
        <v>0</v>
      </c>
      <c r="BA42" s="134">
        <f t="shared" si="22"/>
        <v>0</v>
      </c>
      <c r="BB42" s="134">
        <f t="shared" si="23"/>
        <v>0</v>
      </c>
      <c r="BC42" s="134">
        <f t="shared" si="24"/>
        <v>0</v>
      </c>
      <c r="BD42" s="134">
        <f t="shared" si="25"/>
        <v>0</v>
      </c>
      <c r="BE42" s="134">
        <f t="shared" si="26"/>
        <v>0</v>
      </c>
      <c r="BF42" s="134">
        <f t="shared" si="27"/>
        <v>0</v>
      </c>
      <c r="BG42" s="134">
        <f t="shared" si="28"/>
        <v>0</v>
      </c>
      <c r="BH42" s="134">
        <f t="shared" si="29"/>
        <v>0</v>
      </c>
      <c r="BI42" s="134">
        <f t="shared" si="30"/>
        <v>0</v>
      </c>
      <c r="BJ42" s="134">
        <f t="shared" si="31"/>
        <v>0</v>
      </c>
      <c r="BK42" s="134">
        <f t="shared" si="32"/>
        <v>0</v>
      </c>
      <c r="BL42" s="134">
        <f t="shared" si="33"/>
        <v>0</v>
      </c>
      <c r="BM42" s="134">
        <f t="shared" si="34"/>
        <v>0</v>
      </c>
      <c r="BN42" s="134">
        <f t="shared" si="35"/>
        <v>0</v>
      </c>
      <c r="BO42" s="134">
        <f t="shared" si="36"/>
        <v>0</v>
      </c>
      <c r="BP42" s="134">
        <f t="shared" si="37"/>
        <v>0</v>
      </c>
      <c r="BQ42" s="134">
        <f t="shared" si="38"/>
        <v>0</v>
      </c>
      <c r="BR42" s="134">
        <f t="shared" si="39"/>
        <v>0</v>
      </c>
      <c r="BS42" s="134">
        <f t="shared" si="40"/>
        <v>0</v>
      </c>
      <c r="BT42" s="134">
        <f t="shared" si="41"/>
        <v>0</v>
      </c>
      <c r="BU42" s="134">
        <f t="shared" si="42"/>
        <v>0</v>
      </c>
      <c r="BV42" s="134">
        <f t="shared" si="43"/>
        <v>0</v>
      </c>
      <c r="BW42" s="134">
        <f t="shared" si="44"/>
        <v>0</v>
      </c>
      <c r="BX42" s="134">
        <f t="shared" si="45"/>
        <v>0</v>
      </c>
      <c r="BY42" s="134">
        <f t="shared" si="46"/>
        <v>0</v>
      </c>
      <c r="BZ42" s="134">
        <f t="shared" si="47"/>
        <v>0</v>
      </c>
      <c r="CA42" s="134">
        <f t="shared" si="48"/>
        <v>0</v>
      </c>
      <c r="CB42" s="134">
        <f t="shared" si="49"/>
        <v>0</v>
      </c>
      <c r="CC42" s="134">
        <f t="shared" si="50"/>
        <v>0</v>
      </c>
      <c r="CD42" s="134">
        <f t="shared" si="51"/>
        <v>0</v>
      </c>
      <c r="CE42" s="134">
        <f t="shared" si="52"/>
        <v>0</v>
      </c>
      <c r="CF42" s="134">
        <f t="shared" si="53"/>
        <v>0</v>
      </c>
      <c r="CG42" s="134">
        <f t="shared" si="54"/>
        <v>0</v>
      </c>
      <c r="CH42" s="134">
        <f t="shared" si="55"/>
        <v>0</v>
      </c>
      <c r="CI42" s="134">
        <f t="shared" si="56"/>
        <v>0</v>
      </c>
      <c r="CJ42" s="134">
        <f t="shared" si="57"/>
        <v>0</v>
      </c>
      <c r="CK42" s="134"/>
    </row>
    <row r="43" ht="9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 t="str">
        <f>'Construction and Materials'!B57</f>
        <v>Pick Assembly</v>
      </c>
      <c r="Q43" s="134" t="str">
        <f>'Construction and Materials'!C57</f>
        <v>Pick Type</v>
      </c>
      <c r="R43" s="137" t="str">
        <f>'Construction and Materials'!D57</f>
        <v/>
      </c>
      <c r="S43" s="138">
        <f>IF(NOT(Q43="Pick Type"),VLOOKUP(Q43,'LCA Data'!$C$8:$S$107,6,FALSE)*Lists!R43,0)</f>
        <v>0</v>
      </c>
      <c r="T43" s="139">
        <f>IF(NOT(Q43="Pick Type"),VLOOKUP(Q43,'LCA Data'!$C$8:$S$107,10,FALSE)*Lists!R43,0)</f>
        <v>0</v>
      </c>
      <c r="U43" s="140">
        <f>IF(NOT(Q43="Pick Type"),VLOOKUP(Q43,'LCA Data'!$C$8:$S$107,14,FALSE)*Lists!R43,0)</f>
        <v>0</v>
      </c>
      <c r="V43" s="141">
        <f t="shared" si="2"/>
        <v>0</v>
      </c>
      <c r="W43" s="138">
        <f>IF(NOT(Q43="Pick Type"),VLOOKUP(Q43,'LCA Data'!$C$8:$S$107,7,FALSE)*Lists!R43,0)</f>
        <v>0</v>
      </c>
      <c r="X43" s="139">
        <f>IF(NOT(Q43="Pick Type"),VLOOKUP(Q43,'LCA Data'!$C$8:$S$107,11,FALSE)*Lists!R43,0)</f>
        <v>0</v>
      </c>
      <c r="Y43" s="140">
        <f>IF(NOT(Q43="Pick Type"),VLOOKUP(Q43,'LCA Data'!$C$8:$S$107,15,FALSE)*Lists!R43,0)</f>
        <v>0</v>
      </c>
      <c r="Z43" s="141">
        <f t="shared" si="3"/>
        <v>0</v>
      </c>
      <c r="AA43" s="138">
        <f>IF(NOT(Q43="Pick Type"),VLOOKUP(Q43,'LCA Data'!$C$8:$S$107,8,FALSE)*Lists!R43,0)</f>
        <v>0</v>
      </c>
      <c r="AB43" s="139">
        <f>IF(NOT(Q43="Pick Type"),VLOOKUP(Q43,'LCA Data'!$C$8:$S$107,12,FALSE)*Lists!R43,0)</f>
        <v>0</v>
      </c>
      <c r="AC43" s="140">
        <f>IF(NOT(Q43="Pick Type"),VLOOKUP(Q43,'LCA Data'!$C$8:$S$107,16,FALSE)*Lists!R43,0)</f>
        <v>0</v>
      </c>
      <c r="AD43" s="141">
        <f t="shared" si="4"/>
        <v>0</v>
      </c>
      <c r="AE43" s="142">
        <f>IF(NOT(Q43="Pick Type"),VLOOKUP(Q43,'LCA Data'!$C$8:$S$107,9,FALSE)*Lists!R43,0)</f>
        <v>0</v>
      </c>
      <c r="AF43" s="143">
        <f>IF(NOT(Q43="Pick Type"),VLOOKUP(Q43,'LCA Data'!$C$8:$S$107,13,FALSE)*Lists!R43,0)</f>
        <v>0</v>
      </c>
      <c r="AG43" s="144">
        <f>IF(NOT(Q43="Pick Type"),VLOOKUP(Q43,'LCA Data'!$C$8:$S$107,17,FALSE)*Lists!R43,0)</f>
        <v>0</v>
      </c>
      <c r="AH43" s="145">
        <f t="shared" si="5"/>
        <v>0</v>
      </c>
      <c r="AI43" s="134" t="str">
        <f t="shared" si="6"/>
        <v>#N/A</v>
      </c>
      <c r="AJ43" s="134"/>
      <c r="AK43" s="146" t="s">
        <v>314</v>
      </c>
      <c r="AL43" s="137">
        <f t="shared" si="7"/>
        <v>0</v>
      </c>
      <c r="AM43" s="134">
        <f t="shared" si="8"/>
        <v>0</v>
      </c>
      <c r="AN43" s="134">
        <f t="shared" si="9"/>
        <v>0</v>
      </c>
      <c r="AO43" s="134">
        <f t="shared" si="10"/>
        <v>0</v>
      </c>
      <c r="AP43" s="134">
        <f t="shared" si="11"/>
        <v>0</v>
      </c>
      <c r="AQ43" s="134">
        <f t="shared" si="12"/>
        <v>0</v>
      </c>
      <c r="AR43" s="134">
        <f t="shared" si="13"/>
        <v>0</v>
      </c>
      <c r="AS43" s="134">
        <f t="shared" si="14"/>
        <v>0</v>
      </c>
      <c r="AT43" s="134">
        <f t="shared" si="15"/>
        <v>0</v>
      </c>
      <c r="AU43" s="134">
        <f t="shared" si="16"/>
        <v>0</v>
      </c>
      <c r="AV43" s="134">
        <f t="shared" si="17"/>
        <v>0</v>
      </c>
      <c r="AW43" s="134">
        <f t="shared" si="18"/>
        <v>0</v>
      </c>
      <c r="AX43" s="134">
        <f t="shared" si="19"/>
        <v>0</v>
      </c>
      <c r="AY43" s="134">
        <f t="shared" si="20"/>
        <v>0</v>
      </c>
      <c r="AZ43" s="134">
        <f t="shared" si="21"/>
        <v>0</v>
      </c>
      <c r="BA43" s="134">
        <f t="shared" si="22"/>
        <v>0</v>
      </c>
      <c r="BB43" s="134">
        <f t="shared" si="23"/>
        <v>0</v>
      </c>
      <c r="BC43" s="134">
        <f t="shared" si="24"/>
        <v>0</v>
      </c>
      <c r="BD43" s="134">
        <f t="shared" si="25"/>
        <v>0</v>
      </c>
      <c r="BE43" s="134">
        <f t="shared" si="26"/>
        <v>0</v>
      </c>
      <c r="BF43" s="134">
        <f t="shared" si="27"/>
        <v>0</v>
      </c>
      <c r="BG43" s="134">
        <f t="shared" si="28"/>
        <v>0</v>
      </c>
      <c r="BH43" s="134">
        <f t="shared" si="29"/>
        <v>0</v>
      </c>
      <c r="BI43" s="134">
        <f t="shared" si="30"/>
        <v>0</v>
      </c>
      <c r="BJ43" s="134">
        <f t="shared" si="31"/>
        <v>0</v>
      </c>
      <c r="BK43" s="134">
        <f t="shared" si="32"/>
        <v>0</v>
      </c>
      <c r="BL43" s="134">
        <f t="shared" si="33"/>
        <v>0</v>
      </c>
      <c r="BM43" s="134">
        <f t="shared" si="34"/>
        <v>0</v>
      </c>
      <c r="BN43" s="134">
        <f t="shared" si="35"/>
        <v>0</v>
      </c>
      <c r="BO43" s="134">
        <f t="shared" si="36"/>
        <v>0</v>
      </c>
      <c r="BP43" s="134">
        <f t="shared" si="37"/>
        <v>0</v>
      </c>
      <c r="BQ43" s="134">
        <f t="shared" si="38"/>
        <v>0</v>
      </c>
      <c r="BR43" s="134">
        <f t="shared" si="39"/>
        <v>0</v>
      </c>
      <c r="BS43" s="134">
        <f t="shared" si="40"/>
        <v>0</v>
      </c>
      <c r="BT43" s="134">
        <f t="shared" si="41"/>
        <v>0</v>
      </c>
      <c r="BU43" s="134">
        <f t="shared" si="42"/>
        <v>0</v>
      </c>
      <c r="BV43" s="134">
        <f t="shared" si="43"/>
        <v>0</v>
      </c>
      <c r="BW43" s="134">
        <f t="shared" si="44"/>
        <v>0</v>
      </c>
      <c r="BX43" s="134">
        <f t="shared" si="45"/>
        <v>0</v>
      </c>
      <c r="BY43" s="134">
        <f t="shared" si="46"/>
        <v>0</v>
      </c>
      <c r="BZ43" s="134">
        <f t="shared" si="47"/>
        <v>0</v>
      </c>
      <c r="CA43" s="134">
        <f t="shared" si="48"/>
        <v>0</v>
      </c>
      <c r="CB43" s="134">
        <f t="shared" si="49"/>
        <v>0</v>
      </c>
      <c r="CC43" s="134">
        <f t="shared" si="50"/>
        <v>0</v>
      </c>
      <c r="CD43" s="134">
        <f t="shared" si="51"/>
        <v>0</v>
      </c>
      <c r="CE43" s="134">
        <f t="shared" si="52"/>
        <v>0</v>
      </c>
      <c r="CF43" s="134">
        <f t="shared" si="53"/>
        <v>0</v>
      </c>
      <c r="CG43" s="134">
        <f t="shared" si="54"/>
        <v>0</v>
      </c>
      <c r="CH43" s="134">
        <f t="shared" si="55"/>
        <v>0</v>
      </c>
      <c r="CI43" s="134">
        <f t="shared" si="56"/>
        <v>0</v>
      </c>
      <c r="CJ43" s="134">
        <f t="shared" si="57"/>
        <v>0</v>
      </c>
      <c r="CK43" s="134"/>
    </row>
    <row r="44" ht="9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 t="str">
        <f>'Construction and Materials'!B58</f>
        <v>Pick Assembly</v>
      </c>
      <c r="Q44" s="134" t="str">
        <f>'Construction and Materials'!C58</f>
        <v>Pick Type</v>
      </c>
      <c r="R44" s="137" t="str">
        <f>'Construction and Materials'!D58</f>
        <v/>
      </c>
      <c r="S44" s="138">
        <f>IF(NOT(Q44="Pick Type"),VLOOKUP(Q44,'LCA Data'!$C$8:$S$107,6,FALSE)*Lists!R44,0)</f>
        <v>0</v>
      </c>
      <c r="T44" s="139">
        <f>IF(NOT(Q44="Pick Type"),VLOOKUP(Q44,'LCA Data'!$C$8:$S$107,10,FALSE)*Lists!R44,0)</f>
        <v>0</v>
      </c>
      <c r="U44" s="140">
        <f>IF(NOT(Q44="Pick Type"),VLOOKUP(Q44,'LCA Data'!$C$8:$S$107,14,FALSE)*Lists!R44,0)</f>
        <v>0</v>
      </c>
      <c r="V44" s="141">
        <f t="shared" si="2"/>
        <v>0</v>
      </c>
      <c r="W44" s="138">
        <f>IF(NOT(Q44="Pick Type"),VLOOKUP(Q44,'LCA Data'!$C$8:$S$107,7,FALSE)*Lists!R44,0)</f>
        <v>0</v>
      </c>
      <c r="X44" s="139">
        <f>IF(NOT(Q44="Pick Type"),VLOOKUP(Q44,'LCA Data'!$C$8:$S$107,11,FALSE)*Lists!R44,0)</f>
        <v>0</v>
      </c>
      <c r="Y44" s="140">
        <f>IF(NOT(Q44="Pick Type"),VLOOKUP(Q44,'LCA Data'!$C$8:$S$107,15,FALSE)*Lists!R44,0)</f>
        <v>0</v>
      </c>
      <c r="Z44" s="141">
        <f t="shared" si="3"/>
        <v>0</v>
      </c>
      <c r="AA44" s="138">
        <f>IF(NOT(Q44="Pick Type"),VLOOKUP(Q44,'LCA Data'!$C$8:$S$107,8,FALSE)*Lists!R44,0)</f>
        <v>0</v>
      </c>
      <c r="AB44" s="139">
        <f>IF(NOT(Q44="Pick Type"),VLOOKUP(Q44,'LCA Data'!$C$8:$S$107,12,FALSE)*Lists!R44,0)</f>
        <v>0</v>
      </c>
      <c r="AC44" s="140">
        <f>IF(NOT(Q44="Pick Type"),VLOOKUP(Q44,'LCA Data'!$C$8:$S$107,16,FALSE)*Lists!R44,0)</f>
        <v>0</v>
      </c>
      <c r="AD44" s="141">
        <f t="shared" si="4"/>
        <v>0</v>
      </c>
      <c r="AE44" s="142">
        <f>IF(NOT(Q44="Pick Type"),VLOOKUP(Q44,'LCA Data'!$C$8:$S$107,9,FALSE)*Lists!R44,0)</f>
        <v>0</v>
      </c>
      <c r="AF44" s="143">
        <f>IF(NOT(Q44="Pick Type"),VLOOKUP(Q44,'LCA Data'!$C$8:$S$107,13,FALSE)*Lists!R44,0)</f>
        <v>0</v>
      </c>
      <c r="AG44" s="144">
        <f>IF(NOT(Q44="Pick Type"),VLOOKUP(Q44,'LCA Data'!$C$8:$S$107,17,FALSE)*Lists!R44,0)</f>
        <v>0</v>
      </c>
      <c r="AH44" s="145">
        <f t="shared" si="5"/>
        <v>0</v>
      </c>
      <c r="AI44" s="134" t="str">
        <f t="shared" si="6"/>
        <v>#N/A</v>
      </c>
      <c r="AJ44" s="134"/>
      <c r="AK44" s="146" t="s">
        <v>314</v>
      </c>
      <c r="AL44" s="137">
        <f t="shared" si="7"/>
        <v>0</v>
      </c>
      <c r="AM44" s="134">
        <f t="shared" si="8"/>
        <v>0</v>
      </c>
      <c r="AN44" s="134">
        <f t="shared" si="9"/>
        <v>0</v>
      </c>
      <c r="AO44" s="134">
        <f t="shared" si="10"/>
        <v>0</v>
      </c>
      <c r="AP44" s="134">
        <f t="shared" si="11"/>
        <v>0</v>
      </c>
      <c r="AQ44" s="134">
        <f t="shared" si="12"/>
        <v>0</v>
      </c>
      <c r="AR44" s="134">
        <f t="shared" si="13"/>
        <v>0</v>
      </c>
      <c r="AS44" s="134">
        <f t="shared" si="14"/>
        <v>0</v>
      </c>
      <c r="AT44" s="134">
        <f t="shared" si="15"/>
        <v>0</v>
      </c>
      <c r="AU44" s="134">
        <f t="shared" si="16"/>
        <v>0</v>
      </c>
      <c r="AV44" s="134">
        <f t="shared" si="17"/>
        <v>0</v>
      </c>
      <c r="AW44" s="134">
        <f t="shared" si="18"/>
        <v>0</v>
      </c>
      <c r="AX44" s="134">
        <f t="shared" si="19"/>
        <v>0</v>
      </c>
      <c r="AY44" s="134">
        <f t="shared" si="20"/>
        <v>0</v>
      </c>
      <c r="AZ44" s="134">
        <f t="shared" si="21"/>
        <v>0</v>
      </c>
      <c r="BA44" s="134">
        <f t="shared" si="22"/>
        <v>0</v>
      </c>
      <c r="BB44" s="134">
        <f t="shared" si="23"/>
        <v>0</v>
      </c>
      <c r="BC44" s="134">
        <f t="shared" si="24"/>
        <v>0</v>
      </c>
      <c r="BD44" s="134">
        <f t="shared" si="25"/>
        <v>0</v>
      </c>
      <c r="BE44" s="134">
        <f t="shared" si="26"/>
        <v>0</v>
      </c>
      <c r="BF44" s="134">
        <f t="shared" si="27"/>
        <v>0</v>
      </c>
      <c r="BG44" s="134">
        <f t="shared" si="28"/>
        <v>0</v>
      </c>
      <c r="BH44" s="134">
        <f t="shared" si="29"/>
        <v>0</v>
      </c>
      <c r="BI44" s="134">
        <f t="shared" si="30"/>
        <v>0</v>
      </c>
      <c r="BJ44" s="134">
        <f t="shared" si="31"/>
        <v>0</v>
      </c>
      <c r="BK44" s="134">
        <f t="shared" si="32"/>
        <v>0</v>
      </c>
      <c r="BL44" s="134">
        <f t="shared" si="33"/>
        <v>0</v>
      </c>
      <c r="BM44" s="134">
        <f t="shared" si="34"/>
        <v>0</v>
      </c>
      <c r="BN44" s="134">
        <f t="shared" si="35"/>
        <v>0</v>
      </c>
      <c r="BO44" s="134">
        <f t="shared" si="36"/>
        <v>0</v>
      </c>
      <c r="BP44" s="134">
        <f t="shared" si="37"/>
        <v>0</v>
      </c>
      <c r="BQ44" s="134">
        <f t="shared" si="38"/>
        <v>0</v>
      </c>
      <c r="BR44" s="134">
        <f t="shared" si="39"/>
        <v>0</v>
      </c>
      <c r="BS44" s="134">
        <f t="shared" si="40"/>
        <v>0</v>
      </c>
      <c r="BT44" s="134">
        <f t="shared" si="41"/>
        <v>0</v>
      </c>
      <c r="BU44" s="134">
        <f t="shared" si="42"/>
        <v>0</v>
      </c>
      <c r="BV44" s="134">
        <f t="shared" si="43"/>
        <v>0</v>
      </c>
      <c r="BW44" s="134">
        <f t="shared" si="44"/>
        <v>0</v>
      </c>
      <c r="BX44" s="134">
        <f t="shared" si="45"/>
        <v>0</v>
      </c>
      <c r="BY44" s="134">
        <f t="shared" si="46"/>
        <v>0</v>
      </c>
      <c r="BZ44" s="134">
        <f t="shared" si="47"/>
        <v>0</v>
      </c>
      <c r="CA44" s="134">
        <f t="shared" si="48"/>
        <v>0</v>
      </c>
      <c r="CB44" s="134">
        <f t="shared" si="49"/>
        <v>0</v>
      </c>
      <c r="CC44" s="134">
        <f t="shared" si="50"/>
        <v>0</v>
      </c>
      <c r="CD44" s="134">
        <f t="shared" si="51"/>
        <v>0</v>
      </c>
      <c r="CE44" s="134">
        <f t="shared" si="52"/>
        <v>0</v>
      </c>
      <c r="CF44" s="134">
        <f t="shared" si="53"/>
        <v>0</v>
      </c>
      <c r="CG44" s="134">
        <f t="shared" si="54"/>
        <v>0</v>
      </c>
      <c r="CH44" s="134">
        <f t="shared" si="55"/>
        <v>0</v>
      </c>
      <c r="CI44" s="134">
        <f t="shared" si="56"/>
        <v>0</v>
      </c>
      <c r="CJ44" s="134">
        <f t="shared" si="57"/>
        <v>0</v>
      </c>
      <c r="CK44" s="134"/>
    </row>
    <row r="45" ht="9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48" t="s">
        <v>317</v>
      </c>
      <c r="AL45" s="148">
        <v>0.0</v>
      </c>
      <c r="AM45" s="149">
        <f>'Use Phase'!$F$19+'Use Phase'!$F$20+'Use Phase'!$F$23+'Use Phase'!$F$25+'Use Phase'!$F$27+'Use Phase'!$F$29+'Use Phase'!$F$39+'Use Phase'!$F$40</f>
        <v>0</v>
      </c>
      <c r="AN45" s="149">
        <f>'Use Phase'!$F$19+'Use Phase'!$F$20+'Use Phase'!$F$23+'Use Phase'!$F$25+'Use Phase'!$F$27+'Use Phase'!$F$29+'Use Phase'!$F$39+'Use Phase'!$F$40</f>
        <v>0</v>
      </c>
      <c r="AO45" s="149">
        <f>'Use Phase'!$F$19+'Use Phase'!$F$20+'Use Phase'!$F$23+'Use Phase'!$F$25+'Use Phase'!$F$27+'Use Phase'!$F$29+'Use Phase'!$F$39+'Use Phase'!$F$40</f>
        <v>0</v>
      </c>
      <c r="AP45" s="149">
        <f>'Use Phase'!$F$19+'Use Phase'!$F$20+'Use Phase'!$F$23+'Use Phase'!$F$25+'Use Phase'!$F$27+'Use Phase'!$F$29+'Use Phase'!$F$39+'Use Phase'!$F$40</f>
        <v>0</v>
      </c>
      <c r="AQ45" s="149">
        <f>'Use Phase'!$F$19+'Use Phase'!$F$20+'Use Phase'!$F$23+'Use Phase'!$F$25+'Use Phase'!$F$27+'Use Phase'!$F$29+'Use Phase'!$F$39+'Use Phase'!$F$40</f>
        <v>0</v>
      </c>
      <c r="AR45" s="149">
        <f>'Use Phase'!$F$19+'Use Phase'!$F$20+'Use Phase'!$F$23+'Use Phase'!$F$25+'Use Phase'!$F$27+'Use Phase'!$F$29+'Use Phase'!$F$39+'Use Phase'!$F$40</f>
        <v>0</v>
      </c>
      <c r="AS45" s="149">
        <f>'Use Phase'!$F$19+'Use Phase'!$F$20+'Use Phase'!$F$23+'Use Phase'!$F$25+'Use Phase'!$F$27+'Use Phase'!$F$29+'Use Phase'!$F$39+'Use Phase'!$F$40</f>
        <v>0</v>
      </c>
      <c r="AT45" s="149">
        <f>'Use Phase'!$F$19+'Use Phase'!$F$20+'Use Phase'!$F$23+'Use Phase'!$F$25+'Use Phase'!$F$27+'Use Phase'!$F$29+'Use Phase'!$F$39+'Use Phase'!$F$40</f>
        <v>0</v>
      </c>
      <c r="AU45" s="149">
        <f>'Use Phase'!$F$19+'Use Phase'!$F$20+'Use Phase'!$F$23+'Use Phase'!$F$25+'Use Phase'!$F$27+'Use Phase'!$F$29+'Use Phase'!$F$39+'Use Phase'!$F$40</f>
        <v>0</v>
      </c>
      <c r="AV45" s="149">
        <f>'Use Phase'!$F$19+'Use Phase'!$F$20+'Use Phase'!$F$23+'Use Phase'!$F$25+'Use Phase'!$F$27+'Use Phase'!$F$29+'Use Phase'!$F$39+'Use Phase'!$F$40</f>
        <v>0</v>
      </c>
      <c r="AW45" s="149">
        <f>'Use Phase'!$F$19+'Use Phase'!$F$20+'Use Phase'!$F$23+'Use Phase'!$F$25+'Use Phase'!$F$27+'Use Phase'!$F$29+'Use Phase'!$F$39+'Use Phase'!$F$40</f>
        <v>0</v>
      </c>
      <c r="AX45" s="149">
        <f>'Use Phase'!$F$19+'Use Phase'!$F$20+'Use Phase'!$F$23+'Use Phase'!$F$25+'Use Phase'!$F$27+'Use Phase'!$F$29+'Use Phase'!$F$39+'Use Phase'!$F$40</f>
        <v>0</v>
      </c>
      <c r="AY45" s="149">
        <f>'Use Phase'!$F$19+'Use Phase'!$F$20+'Use Phase'!$F$23+'Use Phase'!$F$25+'Use Phase'!$F$27+'Use Phase'!$F$29+'Use Phase'!$F$39+'Use Phase'!$F$40</f>
        <v>0</v>
      </c>
      <c r="AZ45" s="149">
        <f>'Use Phase'!$F$19+'Use Phase'!$F$20+'Use Phase'!$F$23+'Use Phase'!$F$25+'Use Phase'!$F$27+'Use Phase'!$F$29+'Use Phase'!$F$39+'Use Phase'!$F$40</f>
        <v>0</v>
      </c>
      <c r="BA45" s="149">
        <f>'Use Phase'!$F$19+'Use Phase'!$F$20+'Use Phase'!$F$23+'Use Phase'!$F$25+'Use Phase'!$F$27+'Use Phase'!$F$29+'Use Phase'!$F$39+'Use Phase'!$F$40</f>
        <v>0</v>
      </c>
      <c r="BB45" s="149">
        <f>'Use Phase'!$F$19+'Use Phase'!$F$20+'Use Phase'!$F$23+'Use Phase'!$F$25+'Use Phase'!$F$27+'Use Phase'!$F$29+'Use Phase'!$F$39+'Use Phase'!$F$40</f>
        <v>0</v>
      </c>
      <c r="BC45" s="149">
        <f>'Use Phase'!$F$19+'Use Phase'!$F$20+'Use Phase'!$F$23+'Use Phase'!$F$25+'Use Phase'!$F$27+'Use Phase'!$F$29+'Use Phase'!$F$39+'Use Phase'!$F$40</f>
        <v>0</v>
      </c>
      <c r="BD45" s="149">
        <f>'Use Phase'!$F$19+'Use Phase'!$F$20+'Use Phase'!$F$23+'Use Phase'!$F$25+'Use Phase'!$F$27+'Use Phase'!$F$29+'Use Phase'!$F$39+'Use Phase'!$F$40</f>
        <v>0</v>
      </c>
      <c r="BE45" s="149">
        <f>'Use Phase'!$F$19+'Use Phase'!$F$20+'Use Phase'!$F$23+'Use Phase'!$F$25+'Use Phase'!$F$27+'Use Phase'!$F$29+'Use Phase'!$F$39+'Use Phase'!$F$40</f>
        <v>0</v>
      </c>
      <c r="BF45" s="149">
        <f>'Use Phase'!$F$19+'Use Phase'!$F$20+'Use Phase'!$F$23+'Use Phase'!$F$25+'Use Phase'!$F$27+'Use Phase'!$F$29+'Use Phase'!$F$39+'Use Phase'!$F$40</f>
        <v>0</v>
      </c>
      <c r="BG45" s="149">
        <f>'Use Phase'!$F$19+'Use Phase'!$F$20+'Use Phase'!$F$23+'Use Phase'!$F$25+'Use Phase'!$F$27+'Use Phase'!$F$29+'Use Phase'!$F$39+'Use Phase'!$F$40</f>
        <v>0</v>
      </c>
      <c r="BH45" s="149">
        <f>'Use Phase'!$F$19+'Use Phase'!$F$20+'Use Phase'!$F$23+'Use Phase'!$F$25+'Use Phase'!$F$27+'Use Phase'!$F$29+'Use Phase'!$F$39+'Use Phase'!$F$40</f>
        <v>0</v>
      </c>
      <c r="BI45" s="149">
        <f>'Use Phase'!$F$19+'Use Phase'!$F$20+'Use Phase'!$F$23+'Use Phase'!$F$25+'Use Phase'!$F$27+'Use Phase'!$F$29+'Use Phase'!$F$39+'Use Phase'!$F$40</f>
        <v>0</v>
      </c>
      <c r="BJ45" s="149">
        <f>'Use Phase'!$F$19+'Use Phase'!$F$20+'Use Phase'!$F$23+'Use Phase'!$F$25+'Use Phase'!$F$27+'Use Phase'!$F$29+'Use Phase'!$F$39+'Use Phase'!$F$40</f>
        <v>0</v>
      </c>
      <c r="BK45" s="149">
        <f>'Use Phase'!$F$19+'Use Phase'!$F$20+'Use Phase'!$F$23+'Use Phase'!$F$25+'Use Phase'!$F$27+'Use Phase'!$F$29+'Use Phase'!$F$39+'Use Phase'!$F$40</f>
        <v>0</v>
      </c>
      <c r="BL45" s="149">
        <f>'Use Phase'!$F$19+'Use Phase'!$F$20+'Use Phase'!$F$23+'Use Phase'!$F$25+'Use Phase'!$F$27+'Use Phase'!$F$29+'Use Phase'!$F$39+'Use Phase'!$F$40</f>
        <v>0</v>
      </c>
      <c r="BM45" s="149">
        <f>'Use Phase'!$F$19+'Use Phase'!$F$20+'Use Phase'!$F$23+'Use Phase'!$F$25+'Use Phase'!$F$27+'Use Phase'!$F$29+'Use Phase'!$F$39+'Use Phase'!$F$40</f>
        <v>0</v>
      </c>
      <c r="BN45" s="149">
        <f>'Use Phase'!$F$19+'Use Phase'!$F$20+'Use Phase'!$F$23+'Use Phase'!$F$25+'Use Phase'!$F$27+'Use Phase'!$F$29+'Use Phase'!$F$39+'Use Phase'!$F$40</f>
        <v>0</v>
      </c>
      <c r="BO45" s="149">
        <f>'Use Phase'!$F$19+'Use Phase'!$F$20+'Use Phase'!$F$23+'Use Phase'!$F$25+'Use Phase'!$F$27+'Use Phase'!$F$29+'Use Phase'!$F$39+'Use Phase'!$F$40</f>
        <v>0</v>
      </c>
      <c r="BP45" s="149">
        <f>'Use Phase'!$F$19+'Use Phase'!$F$20+'Use Phase'!$F$23+'Use Phase'!$F$25+'Use Phase'!$F$27+'Use Phase'!$F$29+'Use Phase'!$F$39+'Use Phase'!$F$40</f>
        <v>0</v>
      </c>
      <c r="BQ45" s="149">
        <f>'Use Phase'!$F$19+'Use Phase'!$F$20+'Use Phase'!$F$23+'Use Phase'!$F$25+'Use Phase'!$F$27+'Use Phase'!$F$29+'Use Phase'!$F$39+'Use Phase'!$F$40</f>
        <v>0</v>
      </c>
      <c r="BR45" s="149">
        <f>'Use Phase'!$F$19+'Use Phase'!$F$20+'Use Phase'!$F$23+'Use Phase'!$F$25+'Use Phase'!$F$27+'Use Phase'!$F$29+'Use Phase'!$F$39+'Use Phase'!$F$40</f>
        <v>0</v>
      </c>
      <c r="BS45" s="149">
        <f>'Use Phase'!$F$19+'Use Phase'!$F$20+'Use Phase'!$F$23+'Use Phase'!$F$25+'Use Phase'!$F$27+'Use Phase'!$F$29+'Use Phase'!$F$39+'Use Phase'!$F$40</f>
        <v>0</v>
      </c>
      <c r="BT45" s="149">
        <f>'Use Phase'!$F$19+'Use Phase'!$F$20+'Use Phase'!$F$23+'Use Phase'!$F$25+'Use Phase'!$F$27+'Use Phase'!$F$29+'Use Phase'!$F$39+'Use Phase'!$F$40</f>
        <v>0</v>
      </c>
      <c r="BU45" s="149">
        <f>'Use Phase'!$F$19+'Use Phase'!$F$20+'Use Phase'!$F$23+'Use Phase'!$F$25+'Use Phase'!$F$27+'Use Phase'!$F$29+'Use Phase'!$F$39+'Use Phase'!$F$40</f>
        <v>0</v>
      </c>
      <c r="BV45" s="149">
        <f>'Use Phase'!$F$19+'Use Phase'!$F$20+'Use Phase'!$F$23+'Use Phase'!$F$25+'Use Phase'!$F$27+'Use Phase'!$F$29+'Use Phase'!$F$39+'Use Phase'!$F$40</f>
        <v>0</v>
      </c>
      <c r="BW45" s="149">
        <f>'Use Phase'!$F$19+'Use Phase'!$F$20+'Use Phase'!$F$23+'Use Phase'!$F$25+'Use Phase'!$F$27+'Use Phase'!$F$29+'Use Phase'!$F$39+'Use Phase'!$F$40</f>
        <v>0</v>
      </c>
      <c r="BX45" s="149">
        <f>'Use Phase'!$F$19+'Use Phase'!$F$20+'Use Phase'!$F$23+'Use Phase'!$F$25+'Use Phase'!$F$27+'Use Phase'!$F$29+'Use Phase'!$F$39+'Use Phase'!$F$40</f>
        <v>0</v>
      </c>
      <c r="BY45" s="149">
        <f>'Use Phase'!$F$19+'Use Phase'!$F$20+'Use Phase'!$F$23+'Use Phase'!$F$25+'Use Phase'!$F$27+'Use Phase'!$F$29+'Use Phase'!$F$39+'Use Phase'!$F$40</f>
        <v>0</v>
      </c>
      <c r="BZ45" s="149">
        <f>'Use Phase'!$F$19+'Use Phase'!$F$20+'Use Phase'!$F$23+'Use Phase'!$F$25+'Use Phase'!$F$27+'Use Phase'!$F$29+'Use Phase'!$F$39+'Use Phase'!$F$40</f>
        <v>0</v>
      </c>
      <c r="CA45" s="149">
        <f>'Use Phase'!$F$19+'Use Phase'!$F$20+'Use Phase'!$F$23+'Use Phase'!$F$25+'Use Phase'!$F$27+'Use Phase'!$F$29+'Use Phase'!$F$39+'Use Phase'!$F$40</f>
        <v>0</v>
      </c>
      <c r="CB45" s="149">
        <f>'Use Phase'!$F$19+'Use Phase'!$F$20+'Use Phase'!$F$23+'Use Phase'!$F$25+'Use Phase'!$F$27+'Use Phase'!$F$29+'Use Phase'!$F$39+'Use Phase'!$F$40</f>
        <v>0</v>
      </c>
      <c r="CC45" s="149">
        <f>'Use Phase'!$F$19+'Use Phase'!$F$20+'Use Phase'!$F$23+'Use Phase'!$F$25+'Use Phase'!$F$27+'Use Phase'!$F$29+'Use Phase'!$F$39+'Use Phase'!$F$40</f>
        <v>0</v>
      </c>
      <c r="CD45" s="149">
        <f>'Use Phase'!$F$19+'Use Phase'!$F$20+'Use Phase'!$F$23+'Use Phase'!$F$25+'Use Phase'!$F$27+'Use Phase'!$F$29+'Use Phase'!$F$39+'Use Phase'!$F$40</f>
        <v>0</v>
      </c>
      <c r="CE45" s="149">
        <f>'Use Phase'!$F$19+'Use Phase'!$F$20+'Use Phase'!$F$23+'Use Phase'!$F$25+'Use Phase'!$F$27+'Use Phase'!$F$29+'Use Phase'!$F$39+'Use Phase'!$F$40</f>
        <v>0</v>
      </c>
      <c r="CF45" s="149">
        <f>'Use Phase'!$F$19+'Use Phase'!$F$20+'Use Phase'!$F$23+'Use Phase'!$F$25+'Use Phase'!$F$27+'Use Phase'!$F$29+'Use Phase'!$F$39+'Use Phase'!$F$40</f>
        <v>0</v>
      </c>
      <c r="CG45" s="149">
        <f>'Use Phase'!$F$19+'Use Phase'!$F$20+'Use Phase'!$F$23+'Use Phase'!$F$25+'Use Phase'!$F$27+'Use Phase'!$F$29+'Use Phase'!$F$39+'Use Phase'!$F$40</f>
        <v>0</v>
      </c>
      <c r="CH45" s="149">
        <f>'Use Phase'!$F$19+'Use Phase'!$F$20+'Use Phase'!$F$23+'Use Phase'!$F$25+'Use Phase'!$F$27+'Use Phase'!$F$29+'Use Phase'!$F$39+'Use Phase'!$F$40</f>
        <v>0</v>
      </c>
      <c r="CI45" s="149">
        <f>'Use Phase'!$F$19+'Use Phase'!$F$20+'Use Phase'!$F$23+'Use Phase'!$F$25+'Use Phase'!$F$27+'Use Phase'!$F$29+'Use Phase'!$F$39+'Use Phase'!$F$40</f>
        <v>0</v>
      </c>
      <c r="CJ45" s="149">
        <f>'Use Phase'!$F$19+'Use Phase'!$F$20+'Use Phase'!$F$23+'Use Phase'!$F$25+'Use Phase'!$F$27+'Use Phase'!$F$29+'Use Phase'!$F$39+'Use Phase'!$F$40</f>
        <v>0</v>
      </c>
      <c r="CK45" s="134"/>
    </row>
    <row r="46" ht="9.7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6" t="s">
        <v>293</v>
      </c>
      <c r="T46" s="136" t="s">
        <v>294</v>
      </c>
      <c r="U46" s="136" t="s">
        <v>295</v>
      </c>
      <c r="V46" s="136" t="s">
        <v>296</v>
      </c>
      <c r="W46" s="136" t="s">
        <v>297</v>
      </c>
      <c r="X46" s="136" t="s">
        <v>298</v>
      </c>
      <c r="Y46" s="136" t="s">
        <v>299</v>
      </c>
      <c r="Z46" s="136" t="s">
        <v>300</v>
      </c>
      <c r="AA46" s="136" t="s">
        <v>301</v>
      </c>
      <c r="AB46" s="136" t="s">
        <v>302</v>
      </c>
      <c r="AC46" s="136" t="s">
        <v>303</v>
      </c>
      <c r="AD46" s="136" t="s">
        <v>304</v>
      </c>
      <c r="AE46" s="136" t="s">
        <v>305</v>
      </c>
      <c r="AF46" s="136" t="s">
        <v>306</v>
      </c>
      <c r="AG46" s="136" t="s">
        <v>307</v>
      </c>
      <c r="AH46" s="136" t="s">
        <v>308</v>
      </c>
      <c r="AI46" s="134"/>
      <c r="AJ46" s="134"/>
      <c r="AK46" s="148" t="s">
        <v>318</v>
      </c>
      <c r="AL46" s="149">
        <f t="shared" ref="AL46:CJ46" si="58">SUM(AL4:AL45)</f>
        <v>4007813.433</v>
      </c>
      <c r="AM46" s="149">
        <f t="shared" si="58"/>
        <v>0</v>
      </c>
      <c r="AN46" s="149">
        <f t="shared" si="58"/>
        <v>0</v>
      </c>
      <c r="AO46" s="149">
        <f t="shared" si="58"/>
        <v>0</v>
      </c>
      <c r="AP46" s="149">
        <f t="shared" si="58"/>
        <v>0</v>
      </c>
      <c r="AQ46" s="149">
        <f t="shared" si="58"/>
        <v>0</v>
      </c>
      <c r="AR46" s="149">
        <f t="shared" si="58"/>
        <v>0</v>
      </c>
      <c r="AS46" s="149">
        <f t="shared" si="58"/>
        <v>0</v>
      </c>
      <c r="AT46" s="149">
        <f t="shared" si="58"/>
        <v>0</v>
      </c>
      <c r="AU46" s="149">
        <f t="shared" si="58"/>
        <v>0</v>
      </c>
      <c r="AV46" s="149">
        <f t="shared" si="58"/>
        <v>0</v>
      </c>
      <c r="AW46" s="149">
        <f t="shared" si="58"/>
        <v>0</v>
      </c>
      <c r="AX46" s="149">
        <f t="shared" si="58"/>
        <v>0</v>
      </c>
      <c r="AY46" s="149">
        <f t="shared" si="58"/>
        <v>0</v>
      </c>
      <c r="AZ46" s="149">
        <f t="shared" si="58"/>
        <v>0</v>
      </c>
      <c r="BA46" s="149">
        <f t="shared" si="58"/>
        <v>0</v>
      </c>
      <c r="BB46" s="149">
        <f t="shared" si="58"/>
        <v>0</v>
      </c>
      <c r="BC46" s="149">
        <f t="shared" si="58"/>
        <v>0</v>
      </c>
      <c r="BD46" s="149">
        <f t="shared" si="58"/>
        <v>0</v>
      </c>
      <c r="BE46" s="149">
        <f t="shared" si="58"/>
        <v>0</v>
      </c>
      <c r="BF46" s="149">
        <f t="shared" si="58"/>
        <v>0</v>
      </c>
      <c r="BG46" s="149">
        <f t="shared" si="58"/>
        <v>0</v>
      </c>
      <c r="BH46" s="149">
        <f t="shared" si="58"/>
        <v>0</v>
      </c>
      <c r="BI46" s="149">
        <f t="shared" si="58"/>
        <v>0</v>
      </c>
      <c r="BJ46" s="149">
        <f t="shared" si="58"/>
        <v>0</v>
      </c>
      <c r="BK46" s="149">
        <f t="shared" si="58"/>
        <v>3166.362375</v>
      </c>
      <c r="BL46" s="149">
        <f t="shared" si="58"/>
        <v>0</v>
      </c>
      <c r="BM46" s="149">
        <f t="shared" si="58"/>
        <v>0</v>
      </c>
      <c r="BN46" s="149">
        <f t="shared" si="58"/>
        <v>0</v>
      </c>
      <c r="BO46" s="149">
        <f t="shared" si="58"/>
        <v>0</v>
      </c>
      <c r="BP46" s="149">
        <f t="shared" si="58"/>
        <v>0</v>
      </c>
      <c r="BQ46" s="149">
        <f t="shared" si="58"/>
        <v>0</v>
      </c>
      <c r="BR46" s="149">
        <f t="shared" si="58"/>
        <v>0</v>
      </c>
      <c r="BS46" s="149">
        <f t="shared" si="58"/>
        <v>0</v>
      </c>
      <c r="BT46" s="149">
        <f t="shared" si="58"/>
        <v>0</v>
      </c>
      <c r="BU46" s="149">
        <f t="shared" si="58"/>
        <v>0</v>
      </c>
      <c r="BV46" s="149">
        <f t="shared" si="58"/>
        <v>0</v>
      </c>
      <c r="BW46" s="149">
        <f t="shared" si="58"/>
        <v>0</v>
      </c>
      <c r="BX46" s="149">
        <f t="shared" si="58"/>
        <v>0</v>
      </c>
      <c r="BY46" s="149">
        <f t="shared" si="58"/>
        <v>0</v>
      </c>
      <c r="BZ46" s="149">
        <f t="shared" si="58"/>
        <v>0</v>
      </c>
      <c r="CA46" s="149">
        <f t="shared" si="58"/>
        <v>0</v>
      </c>
      <c r="CB46" s="149">
        <f t="shared" si="58"/>
        <v>0</v>
      </c>
      <c r="CC46" s="149">
        <f t="shared" si="58"/>
        <v>0</v>
      </c>
      <c r="CD46" s="149">
        <f t="shared" si="58"/>
        <v>0</v>
      </c>
      <c r="CE46" s="149">
        <f t="shared" si="58"/>
        <v>0</v>
      </c>
      <c r="CF46" s="149">
        <f t="shared" si="58"/>
        <v>0</v>
      </c>
      <c r="CG46" s="149">
        <f t="shared" si="58"/>
        <v>0</v>
      </c>
      <c r="CH46" s="149">
        <f t="shared" si="58"/>
        <v>0</v>
      </c>
      <c r="CI46" s="149">
        <f t="shared" si="58"/>
        <v>0</v>
      </c>
      <c r="CJ46" s="149">
        <f t="shared" si="58"/>
        <v>0</v>
      </c>
      <c r="CK46" s="134"/>
    </row>
    <row r="47" ht="9.7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7">
        <f t="shared" ref="S47:AH47" si="59">SUM(S4:S44)</f>
        <v>3514655.857</v>
      </c>
      <c r="T47" s="137">
        <f t="shared" si="59"/>
        <v>144763.8103</v>
      </c>
      <c r="U47" s="137">
        <f t="shared" si="59"/>
        <v>348393.766</v>
      </c>
      <c r="V47" s="137">
        <f t="shared" si="59"/>
        <v>4007813.433</v>
      </c>
      <c r="W47" s="137">
        <f t="shared" si="59"/>
        <v>23508158.26</v>
      </c>
      <c r="X47" s="137">
        <f t="shared" si="59"/>
        <v>2223532.315</v>
      </c>
      <c r="Y47" s="137">
        <f t="shared" si="59"/>
        <v>4985215.769</v>
      </c>
      <c r="Z47" s="137">
        <f t="shared" si="59"/>
        <v>30716906.34</v>
      </c>
      <c r="AA47" s="137">
        <f t="shared" si="59"/>
        <v>40852762.37</v>
      </c>
      <c r="AB47" s="137">
        <f t="shared" si="59"/>
        <v>515807.9087</v>
      </c>
      <c r="AC47" s="137">
        <f t="shared" si="59"/>
        <v>5284328.715</v>
      </c>
      <c r="AD47" s="137">
        <f t="shared" si="59"/>
        <v>46652898.99</v>
      </c>
      <c r="AE47" s="150">
        <f t="shared" si="59"/>
        <v>0.1191697603</v>
      </c>
      <c r="AF47" s="150">
        <f t="shared" si="59"/>
        <v>0.02295355371</v>
      </c>
      <c r="AG47" s="150">
        <f t="shared" si="59"/>
        <v>0.00001449223293</v>
      </c>
      <c r="AH47" s="150">
        <f t="shared" si="59"/>
        <v>0.1421378063</v>
      </c>
      <c r="AI47" s="134"/>
      <c r="AJ47" s="134"/>
      <c r="AK47" s="148" t="s">
        <v>319</v>
      </c>
      <c r="AL47" s="149">
        <f>AL46</f>
        <v>4007813.433</v>
      </c>
      <c r="AM47" s="149">
        <f t="shared" ref="AM47:CJ47" si="60">AL47+AM46</f>
        <v>4007813.433</v>
      </c>
      <c r="AN47" s="149">
        <f t="shared" si="60"/>
        <v>4007813.433</v>
      </c>
      <c r="AO47" s="149">
        <f t="shared" si="60"/>
        <v>4007813.433</v>
      </c>
      <c r="AP47" s="149">
        <f t="shared" si="60"/>
        <v>4007813.433</v>
      </c>
      <c r="AQ47" s="149">
        <f t="shared" si="60"/>
        <v>4007813.433</v>
      </c>
      <c r="AR47" s="149">
        <f t="shared" si="60"/>
        <v>4007813.433</v>
      </c>
      <c r="AS47" s="149">
        <f t="shared" si="60"/>
        <v>4007813.433</v>
      </c>
      <c r="AT47" s="149">
        <f t="shared" si="60"/>
        <v>4007813.433</v>
      </c>
      <c r="AU47" s="149">
        <f t="shared" si="60"/>
        <v>4007813.433</v>
      </c>
      <c r="AV47" s="149">
        <f t="shared" si="60"/>
        <v>4007813.433</v>
      </c>
      <c r="AW47" s="149">
        <f t="shared" si="60"/>
        <v>4007813.433</v>
      </c>
      <c r="AX47" s="149">
        <f t="shared" si="60"/>
        <v>4007813.433</v>
      </c>
      <c r="AY47" s="149">
        <f t="shared" si="60"/>
        <v>4007813.433</v>
      </c>
      <c r="AZ47" s="149">
        <f t="shared" si="60"/>
        <v>4007813.433</v>
      </c>
      <c r="BA47" s="149">
        <f t="shared" si="60"/>
        <v>4007813.433</v>
      </c>
      <c r="BB47" s="149">
        <f t="shared" si="60"/>
        <v>4007813.433</v>
      </c>
      <c r="BC47" s="149">
        <f t="shared" si="60"/>
        <v>4007813.433</v>
      </c>
      <c r="BD47" s="149">
        <f t="shared" si="60"/>
        <v>4007813.433</v>
      </c>
      <c r="BE47" s="149">
        <f t="shared" si="60"/>
        <v>4007813.433</v>
      </c>
      <c r="BF47" s="149">
        <f t="shared" si="60"/>
        <v>4007813.433</v>
      </c>
      <c r="BG47" s="149">
        <f t="shared" si="60"/>
        <v>4007813.433</v>
      </c>
      <c r="BH47" s="149">
        <f t="shared" si="60"/>
        <v>4007813.433</v>
      </c>
      <c r="BI47" s="149">
        <f t="shared" si="60"/>
        <v>4007813.433</v>
      </c>
      <c r="BJ47" s="149">
        <f t="shared" si="60"/>
        <v>4007813.433</v>
      </c>
      <c r="BK47" s="149">
        <f t="shared" si="60"/>
        <v>4010979.795</v>
      </c>
      <c r="BL47" s="149">
        <f t="shared" si="60"/>
        <v>4010979.795</v>
      </c>
      <c r="BM47" s="149">
        <f t="shared" si="60"/>
        <v>4010979.795</v>
      </c>
      <c r="BN47" s="149">
        <f t="shared" si="60"/>
        <v>4010979.795</v>
      </c>
      <c r="BO47" s="149">
        <f t="shared" si="60"/>
        <v>4010979.795</v>
      </c>
      <c r="BP47" s="149">
        <f t="shared" si="60"/>
        <v>4010979.795</v>
      </c>
      <c r="BQ47" s="149">
        <f t="shared" si="60"/>
        <v>4010979.795</v>
      </c>
      <c r="BR47" s="149">
        <f t="shared" si="60"/>
        <v>4010979.795</v>
      </c>
      <c r="BS47" s="149">
        <f t="shared" si="60"/>
        <v>4010979.795</v>
      </c>
      <c r="BT47" s="149">
        <f t="shared" si="60"/>
        <v>4010979.795</v>
      </c>
      <c r="BU47" s="149">
        <f t="shared" si="60"/>
        <v>4010979.795</v>
      </c>
      <c r="BV47" s="149">
        <f t="shared" si="60"/>
        <v>4010979.795</v>
      </c>
      <c r="BW47" s="149">
        <f t="shared" si="60"/>
        <v>4010979.795</v>
      </c>
      <c r="BX47" s="149">
        <f t="shared" si="60"/>
        <v>4010979.795</v>
      </c>
      <c r="BY47" s="149">
        <f t="shared" si="60"/>
        <v>4010979.795</v>
      </c>
      <c r="BZ47" s="149">
        <f t="shared" si="60"/>
        <v>4010979.795</v>
      </c>
      <c r="CA47" s="149">
        <f t="shared" si="60"/>
        <v>4010979.795</v>
      </c>
      <c r="CB47" s="149">
        <f t="shared" si="60"/>
        <v>4010979.795</v>
      </c>
      <c r="CC47" s="149">
        <f t="shared" si="60"/>
        <v>4010979.795</v>
      </c>
      <c r="CD47" s="149">
        <f t="shared" si="60"/>
        <v>4010979.795</v>
      </c>
      <c r="CE47" s="149">
        <f t="shared" si="60"/>
        <v>4010979.795</v>
      </c>
      <c r="CF47" s="149">
        <f t="shared" si="60"/>
        <v>4010979.795</v>
      </c>
      <c r="CG47" s="149">
        <f t="shared" si="60"/>
        <v>4010979.795</v>
      </c>
      <c r="CH47" s="149">
        <f t="shared" si="60"/>
        <v>4010979.795</v>
      </c>
      <c r="CI47" s="149">
        <f t="shared" si="60"/>
        <v>4010979.795</v>
      </c>
      <c r="CJ47" s="149">
        <f t="shared" si="60"/>
        <v>4010979.795</v>
      </c>
      <c r="CK47" s="134"/>
    </row>
    <row r="48" ht="9.7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51">
        <f t="shared" ref="S48:V48" si="61">S47/$V$47</f>
        <v>0.8769509648</v>
      </c>
      <c r="T48" s="151">
        <f t="shared" si="61"/>
        <v>0.03612039649</v>
      </c>
      <c r="U48" s="151">
        <f t="shared" si="61"/>
        <v>0.08692863874</v>
      </c>
      <c r="V48" s="151">
        <f t="shared" si="61"/>
        <v>1</v>
      </c>
      <c r="W48" s="151">
        <f t="shared" ref="W48:Z48" si="62">W47/$Z$47</f>
        <v>0.7653165979</v>
      </c>
      <c r="X48" s="151">
        <f t="shared" si="62"/>
        <v>0.07238789903</v>
      </c>
      <c r="Y48" s="151">
        <f t="shared" si="62"/>
        <v>0.1622955031</v>
      </c>
      <c r="Z48" s="151">
        <f t="shared" si="62"/>
        <v>1</v>
      </c>
      <c r="AA48" s="151">
        <f t="shared" ref="AA48:AD48" si="63">AA47/$AD$47</f>
        <v>0.8756746794</v>
      </c>
      <c r="AB48" s="151">
        <f t="shared" si="63"/>
        <v>0.01105628846</v>
      </c>
      <c r="AC48" s="151">
        <f t="shared" si="63"/>
        <v>0.1132690321</v>
      </c>
      <c r="AD48" s="151">
        <f t="shared" si="63"/>
        <v>1</v>
      </c>
      <c r="AE48" s="151">
        <f t="shared" ref="AE48:AH48" si="64">AE47/$AH$47</f>
        <v>0.8384100153</v>
      </c>
      <c r="AF48" s="151">
        <f t="shared" si="64"/>
        <v>0.1614880257</v>
      </c>
      <c r="AG48" s="151">
        <f t="shared" si="64"/>
        <v>0.0001019590305</v>
      </c>
      <c r="AH48" s="151">
        <f t="shared" si="64"/>
        <v>1</v>
      </c>
      <c r="AI48" s="134"/>
      <c r="AJ48" s="134"/>
      <c r="AK48" s="148" t="s">
        <v>320</v>
      </c>
      <c r="AL48" s="149">
        <f>Results!$C$9</f>
        <v>7396873.846</v>
      </c>
      <c r="AM48" s="149">
        <f>Results!$C$9</f>
        <v>7396873.846</v>
      </c>
      <c r="AN48" s="149">
        <f>Results!$C$9</f>
        <v>7396873.846</v>
      </c>
      <c r="AO48" s="149">
        <f>Results!$C$9</f>
        <v>7396873.846</v>
      </c>
      <c r="AP48" s="149">
        <f>Results!$C$9</f>
        <v>7396873.846</v>
      </c>
      <c r="AQ48" s="149">
        <f>Results!$C$9</f>
        <v>7396873.846</v>
      </c>
      <c r="AR48" s="149">
        <f>Results!$C$9</f>
        <v>7396873.846</v>
      </c>
      <c r="AS48" s="149">
        <f>Results!$C$9</f>
        <v>7396873.846</v>
      </c>
      <c r="AT48" s="149">
        <f>Results!$C$9</f>
        <v>7396873.846</v>
      </c>
      <c r="AU48" s="149">
        <f>Results!$C$9</f>
        <v>7396873.846</v>
      </c>
      <c r="AV48" s="149">
        <f>Results!$C$9</f>
        <v>7396873.846</v>
      </c>
      <c r="AW48" s="149">
        <f>Results!$C$9</f>
        <v>7396873.846</v>
      </c>
      <c r="AX48" s="149">
        <f>Results!$C$9</f>
        <v>7396873.846</v>
      </c>
      <c r="AY48" s="149">
        <f>Results!$C$9</f>
        <v>7396873.846</v>
      </c>
      <c r="AZ48" s="149">
        <f>Results!$C$9</f>
        <v>7396873.846</v>
      </c>
      <c r="BA48" s="149">
        <f>Results!$C$9</f>
        <v>7396873.846</v>
      </c>
      <c r="BB48" s="149">
        <f>Results!$C$9</f>
        <v>7396873.846</v>
      </c>
      <c r="BC48" s="149">
        <f>Results!$C$9</f>
        <v>7396873.846</v>
      </c>
      <c r="BD48" s="149">
        <f>Results!$C$9</f>
        <v>7396873.846</v>
      </c>
      <c r="BE48" s="149">
        <f>Results!$C$9</f>
        <v>7396873.846</v>
      </c>
      <c r="BF48" s="149">
        <f>Results!$C$9</f>
        <v>7396873.846</v>
      </c>
      <c r="BG48" s="149">
        <f>Results!$C$9</f>
        <v>7396873.846</v>
      </c>
      <c r="BH48" s="149">
        <f>Results!$C$9</f>
        <v>7396873.846</v>
      </c>
      <c r="BI48" s="149">
        <f>Results!$C$9</f>
        <v>7396873.846</v>
      </c>
      <c r="BJ48" s="149">
        <f>Results!$C$9</f>
        <v>7396873.846</v>
      </c>
      <c r="BK48" s="149">
        <f>Results!$C$9</f>
        <v>7396873.846</v>
      </c>
      <c r="BL48" s="149">
        <f>Results!$C$9</f>
        <v>7396873.846</v>
      </c>
      <c r="BM48" s="149">
        <f>Results!$C$9</f>
        <v>7396873.846</v>
      </c>
      <c r="BN48" s="149">
        <f>Results!$C$9</f>
        <v>7396873.846</v>
      </c>
      <c r="BO48" s="149">
        <f>Results!$C$9</f>
        <v>7396873.846</v>
      </c>
      <c r="BP48" s="149">
        <f>Results!$C$9</f>
        <v>7396873.846</v>
      </c>
      <c r="BQ48" s="149">
        <f>Results!$C$9</f>
        <v>7396873.846</v>
      </c>
      <c r="BR48" s="149">
        <f>Results!$C$9</f>
        <v>7396873.846</v>
      </c>
      <c r="BS48" s="149">
        <f>Results!$C$9</f>
        <v>7396873.846</v>
      </c>
      <c r="BT48" s="149">
        <f>Results!$C$9</f>
        <v>7396873.846</v>
      </c>
      <c r="BU48" s="149">
        <f>Results!$C$9</f>
        <v>7396873.846</v>
      </c>
      <c r="BV48" s="149">
        <f>Results!$C$9</f>
        <v>7396873.846</v>
      </c>
      <c r="BW48" s="149">
        <f>Results!$C$9</f>
        <v>7396873.846</v>
      </c>
      <c r="BX48" s="149">
        <f>Results!$C$9</f>
        <v>7396873.846</v>
      </c>
      <c r="BY48" s="149">
        <f>Results!$C$9</f>
        <v>7396873.846</v>
      </c>
      <c r="BZ48" s="149">
        <f>Results!$C$9</f>
        <v>7396873.846</v>
      </c>
      <c r="CA48" s="149">
        <f>Results!$C$9</f>
        <v>7396873.846</v>
      </c>
      <c r="CB48" s="149">
        <f>Results!$C$9</f>
        <v>7396873.846</v>
      </c>
      <c r="CC48" s="149">
        <f>Results!$C$9</f>
        <v>7396873.846</v>
      </c>
      <c r="CD48" s="149">
        <f>Results!$C$9</f>
        <v>7396873.846</v>
      </c>
      <c r="CE48" s="149">
        <f>Results!$C$9</f>
        <v>7396873.846</v>
      </c>
      <c r="CF48" s="149">
        <f>Results!$C$9</f>
        <v>7396873.846</v>
      </c>
      <c r="CG48" s="149">
        <f>Results!$C$9</f>
        <v>7396873.846</v>
      </c>
      <c r="CH48" s="149">
        <f>Results!$C$9</f>
        <v>7396873.846</v>
      </c>
      <c r="CI48" s="149">
        <f>Results!$C$9</f>
        <v>7396873.846</v>
      </c>
      <c r="CJ48" s="149">
        <f>Results!$C$9</f>
        <v>7396873.846</v>
      </c>
      <c r="CK48" s="134"/>
    </row>
    <row r="49" ht="9.7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48" t="s">
        <v>321</v>
      </c>
      <c r="AL49" s="149">
        <f t="shared" ref="AL49:CJ49" si="65">IF(AL47&gt;AL48,AL47-AL48,0)</f>
        <v>0</v>
      </c>
      <c r="AM49" s="149">
        <f t="shared" si="65"/>
        <v>0</v>
      </c>
      <c r="AN49" s="149">
        <f t="shared" si="65"/>
        <v>0</v>
      </c>
      <c r="AO49" s="149">
        <f t="shared" si="65"/>
        <v>0</v>
      </c>
      <c r="AP49" s="149">
        <f t="shared" si="65"/>
        <v>0</v>
      </c>
      <c r="AQ49" s="149">
        <f t="shared" si="65"/>
        <v>0</v>
      </c>
      <c r="AR49" s="149">
        <f t="shared" si="65"/>
        <v>0</v>
      </c>
      <c r="AS49" s="149">
        <f t="shared" si="65"/>
        <v>0</v>
      </c>
      <c r="AT49" s="149">
        <f t="shared" si="65"/>
        <v>0</v>
      </c>
      <c r="AU49" s="149">
        <f t="shared" si="65"/>
        <v>0</v>
      </c>
      <c r="AV49" s="149">
        <f t="shared" si="65"/>
        <v>0</v>
      </c>
      <c r="AW49" s="149">
        <f t="shared" si="65"/>
        <v>0</v>
      </c>
      <c r="AX49" s="149">
        <f t="shared" si="65"/>
        <v>0</v>
      </c>
      <c r="AY49" s="149">
        <f t="shared" si="65"/>
        <v>0</v>
      </c>
      <c r="AZ49" s="149">
        <f t="shared" si="65"/>
        <v>0</v>
      </c>
      <c r="BA49" s="149">
        <f t="shared" si="65"/>
        <v>0</v>
      </c>
      <c r="BB49" s="149">
        <f t="shared" si="65"/>
        <v>0</v>
      </c>
      <c r="BC49" s="149">
        <f t="shared" si="65"/>
        <v>0</v>
      </c>
      <c r="BD49" s="149">
        <f t="shared" si="65"/>
        <v>0</v>
      </c>
      <c r="BE49" s="149">
        <f t="shared" si="65"/>
        <v>0</v>
      </c>
      <c r="BF49" s="149">
        <f t="shared" si="65"/>
        <v>0</v>
      </c>
      <c r="BG49" s="149">
        <f t="shared" si="65"/>
        <v>0</v>
      </c>
      <c r="BH49" s="149">
        <f t="shared" si="65"/>
        <v>0</v>
      </c>
      <c r="BI49" s="149">
        <f t="shared" si="65"/>
        <v>0</v>
      </c>
      <c r="BJ49" s="149">
        <f t="shared" si="65"/>
        <v>0</v>
      </c>
      <c r="BK49" s="149">
        <f t="shared" si="65"/>
        <v>0</v>
      </c>
      <c r="BL49" s="149">
        <f t="shared" si="65"/>
        <v>0</v>
      </c>
      <c r="BM49" s="149">
        <f t="shared" si="65"/>
        <v>0</v>
      </c>
      <c r="BN49" s="149">
        <f t="shared" si="65"/>
        <v>0</v>
      </c>
      <c r="BO49" s="149">
        <f t="shared" si="65"/>
        <v>0</v>
      </c>
      <c r="BP49" s="149">
        <f t="shared" si="65"/>
        <v>0</v>
      </c>
      <c r="BQ49" s="149">
        <f t="shared" si="65"/>
        <v>0</v>
      </c>
      <c r="BR49" s="149">
        <f t="shared" si="65"/>
        <v>0</v>
      </c>
      <c r="BS49" s="149">
        <f t="shared" si="65"/>
        <v>0</v>
      </c>
      <c r="BT49" s="149">
        <f t="shared" si="65"/>
        <v>0</v>
      </c>
      <c r="BU49" s="149">
        <f t="shared" si="65"/>
        <v>0</v>
      </c>
      <c r="BV49" s="149">
        <f t="shared" si="65"/>
        <v>0</v>
      </c>
      <c r="BW49" s="149">
        <f t="shared" si="65"/>
        <v>0</v>
      </c>
      <c r="BX49" s="149">
        <f t="shared" si="65"/>
        <v>0</v>
      </c>
      <c r="BY49" s="149">
        <f t="shared" si="65"/>
        <v>0</v>
      </c>
      <c r="BZ49" s="149">
        <f t="shared" si="65"/>
        <v>0</v>
      </c>
      <c r="CA49" s="149">
        <f t="shared" si="65"/>
        <v>0</v>
      </c>
      <c r="CB49" s="149">
        <f t="shared" si="65"/>
        <v>0</v>
      </c>
      <c r="CC49" s="149">
        <f t="shared" si="65"/>
        <v>0</v>
      </c>
      <c r="CD49" s="149">
        <f t="shared" si="65"/>
        <v>0</v>
      </c>
      <c r="CE49" s="149">
        <f t="shared" si="65"/>
        <v>0</v>
      </c>
      <c r="CF49" s="149">
        <f t="shared" si="65"/>
        <v>0</v>
      </c>
      <c r="CG49" s="149">
        <f t="shared" si="65"/>
        <v>0</v>
      </c>
      <c r="CH49" s="149">
        <f t="shared" si="65"/>
        <v>0</v>
      </c>
      <c r="CI49" s="149">
        <f t="shared" si="65"/>
        <v>0</v>
      </c>
      <c r="CJ49" s="149">
        <f t="shared" si="65"/>
        <v>0</v>
      </c>
      <c r="CK49" s="134"/>
    </row>
    <row r="50" ht="9.7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 t="s">
        <v>322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48" t="s">
        <v>323</v>
      </c>
      <c r="AL50" s="152">
        <v>30.0</v>
      </c>
      <c r="AM50" s="152">
        <v>30.0</v>
      </c>
      <c r="AN50" s="152">
        <v>30.0</v>
      </c>
      <c r="AO50" s="152">
        <v>30.0</v>
      </c>
      <c r="AP50" s="152">
        <v>30.0</v>
      </c>
      <c r="AQ50" s="152">
        <v>30.0</v>
      </c>
      <c r="AR50" s="152">
        <v>30.0</v>
      </c>
      <c r="AS50" s="152">
        <v>30.0</v>
      </c>
      <c r="AT50" s="152">
        <v>30.0</v>
      </c>
      <c r="AU50" s="152">
        <v>30.0</v>
      </c>
      <c r="AV50" s="152">
        <v>30.0</v>
      </c>
      <c r="AW50" s="152">
        <v>30.0</v>
      </c>
      <c r="AX50" s="152">
        <v>30.0</v>
      </c>
      <c r="AY50" s="152">
        <v>30.0</v>
      </c>
      <c r="AZ50" s="152">
        <v>30.0</v>
      </c>
      <c r="BA50" s="152">
        <v>30.0</v>
      </c>
      <c r="BB50" s="152">
        <v>30.0</v>
      </c>
      <c r="BC50" s="152">
        <v>30.0</v>
      </c>
      <c r="BD50" s="152">
        <v>30.0</v>
      </c>
      <c r="BE50" s="152">
        <v>30.0</v>
      </c>
      <c r="BF50" s="152">
        <v>30.0</v>
      </c>
      <c r="BG50" s="152">
        <v>30.0</v>
      </c>
      <c r="BH50" s="152">
        <v>30.0</v>
      </c>
      <c r="BI50" s="152">
        <v>30.0</v>
      </c>
      <c r="BJ50" s="152">
        <v>30.0</v>
      </c>
      <c r="BK50" s="152">
        <v>30.0</v>
      </c>
      <c r="BL50" s="152">
        <v>30.0</v>
      </c>
      <c r="BM50" s="152">
        <v>30.0</v>
      </c>
      <c r="BN50" s="152">
        <v>30.0</v>
      </c>
      <c r="BO50" s="152">
        <v>30.0</v>
      </c>
      <c r="BP50" s="152">
        <v>30.0</v>
      </c>
      <c r="BQ50" s="152">
        <v>30.0</v>
      </c>
      <c r="BR50" s="152">
        <v>30.0</v>
      </c>
      <c r="BS50" s="152">
        <v>30.0</v>
      </c>
      <c r="BT50" s="152">
        <v>30.0</v>
      </c>
      <c r="BU50" s="152">
        <v>30.0</v>
      </c>
      <c r="BV50" s="152">
        <v>30.0</v>
      </c>
      <c r="BW50" s="152">
        <v>30.0</v>
      </c>
      <c r="BX50" s="152">
        <v>30.0</v>
      </c>
      <c r="BY50" s="152">
        <v>30.0</v>
      </c>
      <c r="BZ50" s="152">
        <v>30.0</v>
      </c>
      <c r="CA50" s="152">
        <v>30.0</v>
      </c>
      <c r="CB50" s="152">
        <v>30.0</v>
      </c>
      <c r="CC50" s="152">
        <v>30.0</v>
      </c>
      <c r="CD50" s="152">
        <v>30.0</v>
      </c>
      <c r="CE50" s="152">
        <v>30.0</v>
      </c>
      <c r="CF50" s="152">
        <v>30.0</v>
      </c>
      <c r="CG50" s="152">
        <v>30.0</v>
      </c>
      <c r="CH50" s="152">
        <v>30.0</v>
      </c>
      <c r="CI50" s="152">
        <v>30.0</v>
      </c>
      <c r="CJ50" s="152">
        <v>30.0</v>
      </c>
      <c r="CK50" s="134"/>
    </row>
    <row r="51" ht="9.7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48" t="s">
        <v>324</v>
      </c>
      <c r="AL51" s="152">
        <f t="shared" ref="AL51:CJ51" si="66">AL49/1000*AL50</f>
        <v>0</v>
      </c>
      <c r="AM51" s="152">
        <f t="shared" si="66"/>
        <v>0</v>
      </c>
      <c r="AN51" s="152">
        <f t="shared" si="66"/>
        <v>0</v>
      </c>
      <c r="AO51" s="152">
        <f t="shared" si="66"/>
        <v>0</v>
      </c>
      <c r="AP51" s="152">
        <f t="shared" si="66"/>
        <v>0</v>
      </c>
      <c r="AQ51" s="152">
        <f t="shared" si="66"/>
        <v>0</v>
      </c>
      <c r="AR51" s="152">
        <f t="shared" si="66"/>
        <v>0</v>
      </c>
      <c r="AS51" s="152">
        <f t="shared" si="66"/>
        <v>0</v>
      </c>
      <c r="AT51" s="152">
        <f t="shared" si="66"/>
        <v>0</v>
      </c>
      <c r="AU51" s="152">
        <f t="shared" si="66"/>
        <v>0</v>
      </c>
      <c r="AV51" s="152">
        <f t="shared" si="66"/>
        <v>0</v>
      </c>
      <c r="AW51" s="152">
        <f t="shared" si="66"/>
        <v>0</v>
      </c>
      <c r="AX51" s="152">
        <f t="shared" si="66"/>
        <v>0</v>
      </c>
      <c r="AY51" s="152">
        <f t="shared" si="66"/>
        <v>0</v>
      </c>
      <c r="AZ51" s="152">
        <f t="shared" si="66"/>
        <v>0</v>
      </c>
      <c r="BA51" s="152">
        <f t="shared" si="66"/>
        <v>0</v>
      </c>
      <c r="BB51" s="152">
        <f t="shared" si="66"/>
        <v>0</v>
      </c>
      <c r="BC51" s="152">
        <f t="shared" si="66"/>
        <v>0</v>
      </c>
      <c r="BD51" s="152">
        <f t="shared" si="66"/>
        <v>0</v>
      </c>
      <c r="BE51" s="152">
        <f t="shared" si="66"/>
        <v>0</v>
      </c>
      <c r="BF51" s="152">
        <f t="shared" si="66"/>
        <v>0</v>
      </c>
      <c r="BG51" s="152">
        <f t="shared" si="66"/>
        <v>0</v>
      </c>
      <c r="BH51" s="152">
        <f t="shared" si="66"/>
        <v>0</v>
      </c>
      <c r="BI51" s="152">
        <f t="shared" si="66"/>
        <v>0</v>
      </c>
      <c r="BJ51" s="152">
        <f t="shared" si="66"/>
        <v>0</v>
      </c>
      <c r="BK51" s="152">
        <f t="shared" si="66"/>
        <v>0</v>
      </c>
      <c r="BL51" s="152">
        <f t="shared" si="66"/>
        <v>0</v>
      </c>
      <c r="BM51" s="152">
        <f t="shared" si="66"/>
        <v>0</v>
      </c>
      <c r="BN51" s="152">
        <f t="shared" si="66"/>
        <v>0</v>
      </c>
      <c r="BO51" s="152">
        <f t="shared" si="66"/>
        <v>0</v>
      </c>
      <c r="BP51" s="152">
        <f t="shared" si="66"/>
        <v>0</v>
      </c>
      <c r="BQ51" s="152">
        <f t="shared" si="66"/>
        <v>0</v>
      </c>
      <c r="BR51" s="152">
        <f t="shared" si="66"/>
        <v>0</v>
      </c>
      <c r="BS51" s="152">
        <f t="shared" si="66"/>
        <v>0</v>
      </c>
      <c r="BT51" s="152">
        <f t="shared" si="66"/>
        <v>0</v>
      </c>
      <c r="BU51" s="152">
        <f t="shared" si="66"/>
        <v>0</v>
      </c>
      <c r="BV51" s="152">
        <f t="shared" si="66"/>
        <v>0</v>
      </c>
      <c r="BW51" s="152">
        <f t="shared" si="66"/>
        <v>0</v>
      </c>
      <c r="BX51" s="152">
        <f t="shared" si="66"/>
        <v>0</v>
      </c>
      <c r="BY51" s="152">
        <f t="shared" si="66"/>
        <v>0</v>
      </c>
      <c r="BZ51" s="152">
        <f t="shared" si="66"/>
        <v>0</v>
      </c>
      <c r="CA51" s="152">
        <f t="shared" si="66"/>
        <v>0</v>
      </c>
      <c r="CB51" s="152">
        <f t="shared" si="66"/>
        <v>0</v>
      </c>
      <c r="CC51" s="152">
        <f t="shared" si="66"/>
        <v>0</v>
      </c>
      <c r="CD51" s="152">
        <f t="shared" si="66"/>
        <v>0</v>
      </c>
      <c r="CE51" s="152">
        <f t="shared" si="66"/>
        <v>0</v>
      </c>
      <c r="CF51" s="152">
        <f t="shared" si="66"/>
        <v>0</v>
      </c>
      <c r="CG51" s="152">
        <f t="shared" si="66"/>
        <v>0</v>
      </c>
      <c r="CH51" s="152">
        <f t="shared" si="66"/>
        <v>0</v>
      </c>
      <c r="CI51" s="152">
        <f t="shared" si="66"/>
        <v>0</v>
      </c>
      <c r="CJ51" s="152">
        <f t="shared" si="66"/>
        <v>0</v>
      </c>
      <c r="CK51" s="153">
        <f>CJ51</f>
        <v>0</v>
      </c>
    </row>
    <row r="52" ht="9.7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</row>
    <row r="53" ht="9.7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</row>
    <row r="54" ht="9.7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</row>
    <row r="55" ht="9.7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</row>
    <row r="56" ht="9.7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</row>
    <row r="57" ht="9.7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</row>
    <row r="58" ht="9.7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</row>
    <row r="59" ht="9.7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</row>
    <row r="60" ht="9.7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</row>
    <row r="61" ht="9.7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</row>
    <row r="62" ht="9.7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</row>
    <row r="63" ht="9.7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</row>
    <row r="64" ht="9.7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</row>
    <row r="65" ht="9.7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</row>
    <row r="66" ht="9.7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</row>
    <row r="67" ht="9.7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</row>
    <row r="68" ht="9.7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</row>
    <row r="69" ht="9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</row>
    <row r="70" ht="9.7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</row>
    <row r="71" ht="9.7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</row>
    <row r="72" ht="9.7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</row>
    <row r="73" ht="9.7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</row>
    <row r="74" ht="9.7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</row>
    <row r="75" ht="9.7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</row>
    <row r="76" ht="9.7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</row>
    <row r="77" ht="9.7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</row>
    <row r="78" ht="9.7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</row>
    <row r="79" ht="9.7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</row>
    <row r="80" ht="9.7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</row>
    <row r="81" ht="9.7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</row>
    <row r="82" ht="9.7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</row>
    <row r="83" ht="9.7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</row>
    <row r="84" ht="9.7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</row>
    <row r="85" ht="9.7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</row>
    <row r="86" ht="9.7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</row>
    <row r="87" ht="9.7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4"/>
      <c r="BO87" s="134"/>
      <c r="BP87" s="134"/>
      <c r="BQ87" s="134"/>
      <c r="BR87" s="134"/>
      <c r="BS87" s="134"/>
      <c r="BT87" s="134"/>
      <c r="BU87" s="134"/>
      <c r="BV87" s="134"/>
      <c r="BW87" s="134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</row>
    <row r="88" ht="9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</row>
    <row r="89" ht="9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</row>
    <row r="90" ht="9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</row>
    <row r="91" ht="9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4"/>
      <c r="BO91" s="134"/>
      <c r="BP91" s="134"/>
      <c r="BQ91" s="134"/>
      <c r="BR91" s="134"/>
      <c r="BS91" s="134"/>
      <c r="BT91" s="134"/>
      <c r="BU91" s="134"/>
      <c r="BV91" s="134"/>
      <c r="BW91" s="134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</row>
    <row r="92" ht="9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4"/>
      <c r="BO92" s="134"/>
      <c r="BP92" s="134"/>
      <c r="BQ92" s="134"/>
      <c r="BR92" s="134"/>
      <c r="BS92" s="134"/>
      <c r="BT92" s="134"/>
      <c r="BU92" s="134"/>
      <c r="BV92" s="134"/>
      <c r="BW92" s="134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</row>
    <row r="93" ht="9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</row>
    <row r="94" ht="9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</row>
    <row r="95" ht="9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</row>
    <row r="96" ht="9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</row>
    <row r="97" ht="9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  <c r="AV97" s="134"/>
      <c r="AW97" s="134"/>
      <c r="AX97" s="134"/>
      <c r="AY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</row>
    <row r="98" ht="9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</row>
    <row r="99" ht="9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  <c r="AV99" s="134"/>
      <c r="AW99" s="134"/>
      <c r="AX99" s="134"/>
      <c r="AY99" s="134"/>
      <c r="AZ99" s="134"/>
      <c r="BA99" s="134"/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4"/>
      <c r="BO99" s="134"/>
      <c r="BP99" s="134"/>
      <c r="BQ99" s="134"/>
      <c r="BR99" s="134"/>
      <c r="BS99" s="134"/>
      <c r="BT99" s="134"/>
      <c r="BU99" s="134"/>
      <c r="BV99" s="134"/>
      <c r="BW99" s="134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</row>
    <row r="100" ht="9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</row>
    <row r="101" ht="9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</row>
    <row r="102" ht="9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</row>
    <row r="103" ht="9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</row>
    <row r="104" ht="9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</row>
    <row r="105" ht="9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</row>
    <row r="106" ht="9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</row>
    <row r="107" ht="9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</row>
    <row r="108" ht="9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</row>
    <row r="109" ht="9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</row>
    <row r="110" ht="9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</row>
    <row r="111" ht="9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</row>
    <row r="112" ht="9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</row>
    <row r="113" ht="9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</row>
    <row r="114" ht="9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</row>
    <row r="115" ht="9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</row>
    <row r="116" ht="9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</row>
    <row r="117" ht="9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  <c r="BY117" s="134"/>
      <c r="BZ117" s="134"/>
      <c r="CA117" s="134"/>
      <c r="CB117" s="134"/>
      <c r="CC117" s="134"/>
      <c r="CD117" s="134"/>
      <c r="CE117" s="134"/>
      <c r="CF117" s="134"/>
      <c r="CG117" s="134"/>
      <c r="CH117" s="134"/>
      <c r="CI117" s="134"/>
      <c r="CJ117" s="134"/>
      <c r="CK117" s="134"/>
    </row>
    <row r="118" ht="9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  <c r="BY118" s="134"/>
      <c r="BZ118" s="134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4"/>
      <c r="CK118" s="134"/>
    </row>
    <row r="119" ht="9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  <c r="BY119" s="134"/>
      <c r="BZ119" s="134"/>
      <c r="CA119" s="134"/>
      <c r="CB119" s="134"/>
      <c r="CC119" s="134"/>
      <c r="CD119" s="134"/>
      <c r="CE119" s="134"/>
      <c r="CF119" s="134"/>
      <c r="CG119" s="134"/>
      <c r="CH119" s="134"/>
      <c r="CI119" s="134"/>
      <c r="CJ119" s="134"/>
      <c r="CK119" s="134"/>
    </row>
    <row r="120" ht="9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  <c r="BY120" s="134"/>
      <c r="BZ120" s="134"/>
      <c r="CA120" s="134"/>
      <c r="CB120" s="134"/>
      <c r="CC120" s="134"/>
      <c r="CD120" s="134"/>
      <c r="CE120" s="134"/>
      <c r="CF120" s="134"/>
      <c r="CG120" s="134"/>
      <c r="CH120" s="134"/>
      <c r="CI120" s="134"/>
      <c r="CJ120" s="134"/>
      <c r="CK120" s="134"/>
    </row>
    <row r="121" ht="9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4"/>
      <c r="CK121" s="134"/>
    </row>
    <row r="122" ht="9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  <c r="BF122" s="134"/>
      <c r="BG122" s="134"/>
      <c r="BH122" s="134"/>
      <c r="BI122" s="134"/>
      <c r="BJ122" s="134"/>
      <c r="BK122" s="134"/>
      <c r="BL122" s="134"/>
      <c r="BM122" s="134"/>
      <c r="BN122" s="134"/>
      <c r="BO122" s="134"/>
      <c r="BP122" s="134"/>
      <c r="BQ122" s="134"/>
      <c r="BR122" s="134"/>
      <c r="BS122" s="134"/>
      <c r="BT122" s="134"/>
      <c r="BU122" s="134"/>
      <c r="BV122" s="134"/>
      <c r="BW122" s="134"/>
      <c r="BX122" s="134"/>
      <c r="BY122" s="134"/>
      <c r="BZ122" s="134"/>
      <c r="CA122" s="134"/>
      <c r="CB122" s="134"/>
      <c r="CC122" s="134"/>
      <c r="CD122" s="134"/>
      <c r="CE122" s="134"/>
      <c r="CF122" s="134"/>
      <c r="CG122" s="134"/>
      <c r="CH122" s="134"/>
      <c r="CI122" s="134"/>
      <c r="CJ122" s="134"/>
      <c r="CK122" s="134"/>
    </row>
    <row r="123" ht="9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  <c r="BY123" s="134"/>
      <c r="BZ123" s="134"/>
      <c r="CA123" s="134"/>
      <c r="CB123" s="134"/>
      <c r="CC123" s="134"/>
      <c r="CD123" s="134"/>
      <c r="CE123" s="134"/>
      <c r="CF123" s="134"/>
      <c r="CG123" s="134"/>
      <c r="CH123" s="134"/>
      <c r="CI123" s="134"/>
      <c r="CJ123" s="134"/>
      <c r="CK123" s="134"/>
    </row>
    <row r="124" ht="9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  <c r="BF124" s="134"/>
      <c r="BG124" s="134"/>
      <c r="BH124" s="134"/>
      <c r="BI124" s="134"/>
      <c r="BJ124" s="134"/>
      <c r="BK124" s="134"/>
      <c r="BL124" s="134"/>
      <c r="BM124" s="134"/>
      <c r="BN124" s="134"/>
      <c r="BO124" s="134"/>
      <c r="BP124" s="134"/>
      <c r="BQ124" s="134"/>
      <c r="BR124" s="134"/>
      <c r="BS124" s="134"/>
      <c r="BT124" s="134"/>
      <c r="BU124" s="134"/>
      <c r="BV124" s="134"/>
      <c r="BW124" s="134"/>
      <c r="BX124" s="134"/>
      <c r="BY124" s="134"/>
      <c r="BZ124" s="134"/>
      <c r="CA124" s="134"/>
      <c r="CB124" s="134"/>
      <c r="CC124" s="134"/>
      <c r="CD124" s="134"/>
      <c r="CE124" s="134"/>
      <c r="CF124" s="134"/>
      <c r="CG124" s="134"/>
      <c r="CH124" s="134"/>
      <c r="CI124" s="134"/>
      <c r="CJ124" s="134"/>
      <c r="CK124" s="134"/>
    </row>
    <row r="125" ht="9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  <c r="CC125" s="134"/>
      <c r="CD125" s="134"/>
      <c r="CE125" s="134"/>
      <c r="CF125" s="134"/>
      <c r="CG125" s="134"/>
      <c r="CH125" s="134"/>
      <c r="CI125" s="134"/>
      <c r="CJ125" s="134"/>
      <c r="CK125" s="134"/>
    </row>
    <row r="126" ht="9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  <c r="BY126" s="134"/>
      <c r="BZ126" s="134"/>
      <c r="CA126" s="134"/>
      <c r="CB126" s="134"/>
      <c r="CC126" s="134"/>
      <c r="CD126" s="134"/>
      <c r="CE126" s="134"/>
      <c r="CF126" s="134"/>
      <c r="CG126" s="134"/>
      <c r="CH126" s="134"/>
      <c r="CI126" s="134"/>
      <c r="CJ126" s="134"/>
      <c r="CK126" s="134"/>
    </row>
    <row r="127" ht="9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34"/>
      <c r="BQ127" s="134"/>
      <c r="BR127" s="134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4"/>
      <c r="CK127" s="134"/>
    </row>
    <row r="128" ht="9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34"/>
      <c r="BQ128" s="134"/>
      <c r="BR128" s="134"/>
      <c r="BS128" s="134"/>
      <c r="BT128" s="134"/>
      <c r="BU128" s="134"/>
      <c r="BV128" s="134"/>
      <c r="BW128" s="134"/>
      <c r="BX128" s="134"/>
      <c r="BY128" s="134"/>
      <c r="BZ128" s="134"/>
      <c r="CA128" s="134"/>
      <c r="CB128" s="134"/>
      <c r="CC128" s="134"/>
      <c r="CD128" s="134"/>
      <c r="CE128" s="134"/>
      <c r="CF128" s="134"/>
      <c r="CG128" s="134"/>
      <c r="CH128" s="134"/>
      <c r="CI128" s="134"/>
      <c r="CJ128" s="134"/>
      <c r="CK128" s="134"/>
    </row>
    <row r="129" ht="9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  <c r="CI129" s="134"/>
      <c r="CJ129" s="134"/>
      <c r="CK129" s="134"/>
    </row>
    <row r="130" ht="9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  <c r="BP130" s="134"/>
      <c r="BQ130" s="134"/>
      <c r="BR130" s="134"/>
      <c r="BS130" s="134"/>
      <c r="BT130" s="134"/>
      <c r="BU130" s="134"/>
      <c r="BV130" s="134"/>
      <c r="BW130" s="134"/>
      <c r="BX130" s="134"/>
      <c r="BY130" s="134"/>
      <c r="BZ130" s="134"/>
      <c r="CA130" s="134"/>
      <c r="CB130" s="134"/>
      <c r="CC130" s="134"/>
      <c r="CD130" s="134"/>
      <c r="CE130" s="134"/>
      <c r="CF130" s="134"/>
      <c r="CG130" s="134"/>
      <c r="CH130" s="134"/>
      <c r="CI130" s="134"/>
      <c r="CJ130" s="134"/>
      <c r="CK130" s="134"/>
    </row>
    <row r="131" ht="9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  <c r="BM131" s="134"/>
      <c r="BN131" s="134"/>
      <c r="BO131" s="134"/>
      <c r="BP131" s="134"/>
      <c r="BQ131" s="134"/>
      <c r="BR131" s="134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  <c r="CC131" s="134"/>
      <c r="CD131" s="134"/>
      <c r="CE131" s="134"/>
      <c r="CF131" s="134"/>
      <c r="CG131" s="134"/>
      <c r="CH131" s="134"/>
      <c r="CI131" s="134"/>
      <c r="CJ131" s="134"/>
      <c r="CK131" s="134"/>
    </row>
    <row r="132" ht="9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34"/>
      <c r="AZ132" s="134"/>
      <c r="BA132" s="134"/>
      <c r="BB132" s="134"/>
      <c r="BC132" s="134"/>
      <c r="BD132" s="134"/>
      <c r="BE132" s="134"/>
      <c r="BF132" s="134"/>
      <c r="BG132" s="134"/>
      <c r="BH132" s="134"/>
      <c r="BI132" s="134"/>
      <c r="BJ132" s="134"/>
      <c r="BK132" s="134"/>
      <c r="BL132" s="134"/>
      <c r="BM132" s="134"/>
      <c r="BN132" s="134"/>
      <c r="BO132" s="134"/>
      <c r="BP132" s="134"/>
      <c r="BQ132" s="134"/>
      <c r="BR132" s="134"/>
      <c r="BS132" s="134"/>
      <c r="BT132" s="134"/>
      <c r="BU132" s="134"/>
      <c r="BV132" s="134"/>
      <c r="BW132" s="134"/>
      <c r="BX132" s="134"/>
      <c r="BY132" s="134"/>
      <c r="BZ132" s="134"/>
      <c r="CA132" s="134"/>
      <c r="CB132" s="134"/>
      <c r="CC132" s="134"/>
      <c r="CD132" s="134"/>
      <c r="CE132" s="134"/>
      <c r="CF132" s="134"/>
      <c r="CG132" s="134"/>
      <c r="CH132" s="134"/>
      <c r="CI132" s="134"/>
      <c r="CJ132" s="134"/>
      <c r="CK132" s="134"/>
    </row>
    <row r="133" ht="9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  <c r="BM133" s="134"/>
      <c r="BN133" s="134"/>
      <c r="BO133" s="134"/>
      <c r="BP133" s="134"/>
      <c r="BQ133" s="134"/>
      <c r="BR133" s="134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/>
      <c r="CI133" s="134"/>
      <c r="CJ133" s="134"/>
      <c r="CK133" s="134"/>
    </row>
    <row r="134" ht="9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34"/>
      <c r="AQ134" s="134"/>
      <c r="AR134" s="134"/>
      <c r="AS134" s="134"/>
      <c r="AT134" s="134"/>
      <c r="AU134" s="134"/>
      <c r="AV134" s="134"/>
      <c r="AW134" s="134"/>
      <c r="AX134" s="134"/>
      <c r="AY134" s="134"/>
      <c r="AZ134" s="134"/>
      <c r="BA134" s="134"/>
      <c r="BB134" s="134"/>
      <c r="BC134" s="134"/>
      <c r="BD134" s="134"/>
      <c r="BE134" s="134"/>
      <c r="BF134" s="134"/>
      <c r="BG134" s="134"/>
      <c r="BH134" s="134"/>
      <c r="BI134" s="134"/>
      <c r="BJ134" s="134"/>
      <c r="BK134" s="134"/>
      <c r="BL134" s="134"/>
      <c r="BM134" s="134"/>
      <c r="BN134" s="134"/>
      <c r="BO134" s="134"/>
      <c r="BP134" s="134"/>
      <c r="BQ134" s="134"/>
      <c r="BR134" s="134"/>
      <c r="BS134" s="134"/>
      <c r="BT134" s="134"/>
      <c r="BU134" s="134"/>
      <c r="BV134" s="134"/>
      <c r="BW134" s="134"/>
      <c r="BX134" s="134"/>
      <c r="BY134" s="134"/>
      <c r="BZ134" s="134"/>
      <c r="CA134" s="134"/>
      <c r="CB134" s="134"/>
      <c r="CC134" s="134"/>
      <c r="CD134" s="134"/>
      <c r="CE134" s="134"/>
      <c r="CF134" s="134"/>
      <c r="CG134" s="134"/>
      <c r="CH134" s="134"/>
      <c r="CI134" s="134"/>
      <c r="CJ134" s="134"/>
      <c r="CK134" s="134"/>
    </row>
    <row r="135" ht="9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  <c r="BF135" s="134"/>
      <c r="BG135" s="134"/>
      <c r="BH135" s="134"/>
      <c r="BI135" s="134"/>
      <c r="BJ135" s="134"/>
      <c r="BK135" s="134"/>
      <c r="BL135" s="134"/>
      <c r="BM135" s="134"/>
      <c r="BN135" s="134"/>
      <c r="BO135" s="134"/>
      <c r="BP135" s="134"/>
      <c r="BQ135" s="134"/>
      <c r="BR135" s="134"/>
      <c r="BS135" s="134"/>
      <c r="BT135" s="134"/>
      <c r="BU135" s="134"/>
      <c r="BV135" s="134"/>
      <c r="BW135" s="134"/>
      <c r="BX135" s="134"/>
      <c r="BY135" s="134"/>
      <c r="BZ135" s="134"/>
      <c r="CA135" s="134"/>
      <c r="CB135" s="134"/>
      <c r="CC135" s="134"/>
      <c r="CD135" s="134"/>
      <c r="CE135" s="134"/>
      <c r="CF135" s="134"/>
      <c r="CG135" s="134"/>
      <c r="CH135" s="134"/>
      <c r="CI135" s="134"/>
      <c r="CJ135" s="134"/>
      <c r="CK135" s="134"/>
    </row>
    <row r="136" ht="9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  <c r="AO136" s="134"/>
      <c r="AP136" s="134"/>
      <c r="AQ136" s="134"/>
      <c r="AR136" s="134"/>
      <c r="AS136" s="134"/>
      <c r="AT136" s="134"/>
      <c r="AU136" s="134"/>
      <c r="AV136" s="134"/>
      <c r="AW136" s="134"/>
      <c r="AX136" s="134"/>
      <c r="AY136" s="134"/>
      <c r="AZ136" s="134"/>
      <c r="BA136" s="134"/>
      <c r="BB136" s="134"/>
      <c r="BC136" s="134"/>
      <c r="BD136" s="134"/>
      <c r="BE136" s="134"/>
      <c r="BF136" s="134"/>
      <c r="BG136" s="134"/>
      <c r="BH136" s="134"/>
      <c r="BI136" s="134"/>
      <c r="BJ136" s="134"/>
      <c r="BK136" s="134"/>
      <c r="BL136" s="134"/>
      <c r="BM136" s="134"/>
      <c r="BN136" s="134"/>
      <c r="BO136" s="134"/>
      <c r="BP136" s="134"/>
      <c r="BQ136" s="134"/>
      <c r="BR136" s="134"/>
      <c r="BS136" s="134"/>
      <c r="BT136" s="134"/>
      <c r="BU136" s="134"/>
      <c r="BV136" s="134"/>
      <c r="BW136" s="134"/>
      <c r="BX136" s="134"/>
      <c r="BY136" s="134"/>
      <c r="BZ136" s="134"/>
      <c r="CA136" s="134"/>
      <c r="CB136" s="134"/>
      <c r="CC136" s="134"/>
      <c r="CD136" s="134"/>
      <c r="CE136" s="134"/>
      <c r="CF136" s="134"/>
      <c r="CG136" s="134"/>
      <c r="CH136" s="134"/>
      <c r="CI136" s="134"/>
      <c r="CJ136" s="134"/>
      <c r="CK136" s="134"/>
    </row>
    <row r="137" ht="9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  <c r="BF137" s="134"/>
      <c r="BG137" s="134"/>
      <c r="BH137" s="134"/>
      <c r="BI137" s="134"/>
      <c r="BJ137" s="134"/>
      <c r="BK137" s="134"/>
      <c r="BL137" s="134"/>
      <c r="BM137" s="134"/>
      <c r="BN137" s="134"/>
      <c r="BO137" s="134"/>
      <c r="BP137" s="134"/>
      <c r="BQ137" s="134"/>
      <c r="BR137" s="134"/>
      <c r="BS137" s="134"/>
      <c r="BT137" s="134"/>
      <c r="BU137" s="134"/>
      <c r="BV137" s="134"/>
      <c r="BW137" s="134"/>
      <c r="BX137" s="134"/>
      <c r="BY137" s="134"/>
      <c r="BZ137" s="134"/>
      <c r="CA137" s="134"/>
      <c r="CB137" s="134"/>
      <c r="CC137" s="134"/>
      <c r="CD137" s="134"/>
      <c r="CE137" s="134"/>
      <c r="CF137" s="134"/>
      <c r="CG137" s="134"/>
      <c r="CH137" s="134"/>
      <c r="CI137" s="134"/>
      <c r="CJ137" s="134"/>
      <c r="CK137" s="134"/>
    </row>
    <row r="138" ht="9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  <c r="AO138" s="134"/>
      <c r="AP138" s="134"/>
      <c r="AQ138" s="134"/>
      <c r="AR138" s="134"/>
      <c r="AS138" s="134"/>
      <c r="AT138" s="134"/>
      <c r="AU138" s="134"/>
      <c r="AV138" s="134"/>
      <c r="AW138" s="134"/>
      <c r="AX138" s="134"/>
      <c r="AY138" s="134"/>
      <c r="AZ138" s="134"/>
      <c r="BA138" s="134"/>
      <c r="BB138" s="134"/>
      <c r="BC138" s="134"/>
      <c r="BD138" s="134"/>
      <c r="BE138" s="134"/>
      <c r="BF138" s="134"/>
      <c r="BG138" s="134"/>
      <c r="BH138" s="134"/>
      <c r="BI138" s="134"/>
      <c r="BJ138" s="134"/>
      <c r="BK138" s="134"/>
      <c r="BL138" s="134"/>
      <c r="BM138" s="134"/>
      <c r="BN138" s="134"/>
      <c r="BO138" s="134"/>
      <c r="BP138" s="134"/>
      <c r="BQ138" s="134"/>
      <c r="BR138" s="134"/>
      <c r="BS138" s="134"/>
      <c r="BT138" s="134"/>
      <c r="BU138" s="134"/>
      <c r="BV138" s="134"/>
      <c r="BW138" s="134"/>
      <c r="BX138" s="134"/>
      <c r="BY138" s="134"/>
      <c r="BZ138" s="134"/>
      <c r="CA138" s="134"/>
      <c r="CB138" s="134"/>
      <c r="CC138" s="134"/>
      <c r="CD138" s="134"/>
      <c r="CE138" s="134"/>
      <c r="CF138" s="134"/>
      <c r="CG138" s="134"/>
      <c r="CH138" s="134"/>
      <c r="CI138" s="134"/>
      <c r="CJ138" s="134"/>
      <c r="CK138" s="134"/>
    </row>
    <row r="139" ht="9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4"/>
      <c r="BG139" s="134"/>
      <c r="BH139" s="134"/>
      <c r="BI139" s="134"/>
      <c r="BJ139" s="134"/>
      <c r="BK139" s="134"/>
      <c r="BL139" s="134"/>
      <c r="BM139" s="134"/>
      <c r="BN139" s="134"/>
      <c r="BO139" s="134"/>
      <c r="BP139" s="134"/>
      <c r="BQ139" s="134"/>
      <c r="BR139" s="134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  <c r="CC139" s="134"/>
      <c r="CD139" s="134"/>
      <c r="CE139" s="134"/>
      <c r="CF139" s="134"/>
      <c r="CG139" s="134"/>
      <c r="CH139" s="134"/>
      <c r="CI139" s="134"/>
      <c r="CJ139" s="134"/>
      <c r="CK139" s="134"/>
    </row>
    <row r="140" ht="9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  <c r="AU140" s="134"/>
      <c r="AV140" s="134"/>
      <c r="AW140" s="134"/>
      <c r="AX140" s="134"/>
      <c r="AY140" s="134"/>
      <c r="AZ140" s="134"/>
      <c r="BA140" s="134"/>
      <c r="BB140" s="134"/>
      <c r="BC140" s="134"/>
      <c r="BD140" s="134"/>
      <c r="BE140" s="134"/>
      <c r="BF140" s="134"/>
      <c r="BG140" s="134"/>
      <c r="BH140" s="134"/>
      <c r="BI140" s="134"/>
      <c r="BJ140" s="134"/>
      <c r="BK140" s="134"/>
      <c r="BL140" s="134"/>
      <c r="BM140" s="134"/>
      <c r="BN140" s="134"/>
      <c r="BO140" s="134"/>
      <c r="BP140" s="134"/>
      <c r="BQ140" s="134"/>
      <c r="BR140" s="134"/>
      <c r="BS140" s="134"/>
      <c r="BT140" s="134"/>
      <c r="BU140" s="134"/>
      <c r="BV140" s="134"/>
      <c r="BW140" s="134"/>
      <c r="BX140" s="134"/>
      <c r="BY140" s="134"/>
      <c r="BZ140" s="134"/>
      <c r="CA140" s="134"/>
      <c r="CB140" s="134"/>
      <c r="CC140" s="134"/>
      <c r="CD140" s="134"/>
      <c r="CE140" s="134"/>
      <c r="CF140" s="134"/>
      <c r="CG140" s="134"/>
      <c r="CH140" s="134"/>
      <c r="CI140" s="134"/>
      <c r="CJ140" s="134"/>
      <c r="CK140" s="134"/>
    </row>
    <row r="141" ht="9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  <c r="AV141" s="134"/>
      <c r="AW141" s="134"/>
      <c r="AX141" s="134"/>
      <c r="AY141" s="134"/>
      <c r="AZ141" s="134"/>
      <c r="BA141" s="134"/>
      <c r="BB141" s="134"/>
      <c r="BC141" s="134"/>
      <c r="BD141" s="134"/>
      <c r="BE141" s="134"/>
      <c r="BF141" s="134"/>
      <c r="BG141" s="134"/>
      <c r="BH141" s="134"/>
      <c r="BI141" s="134"/>
      <c r="BJ141" s="134"/>
      <c r="BK141" s="134"/>
      <c r="BL141" s="134"/>
      <c r="BM141" s="134"/>
      <c r="BN141" s="134"/>
      <c r="BO141" s="134"/>
      <c r="BP141" s="134"/>
      <c r="BQ141" s="134"/>
      <c r="BR141" s="134"/>
      <c r="BS141" s="134"/>
      <c r="BT141" s="134"/>
      <c r="BU141" s="134"/>
      <c r="BV141" s="134"/>
      <c r="BW141" s="134"/>
      <c r="BX141" s="134"/>
      <c r="BY141" s="134"/>
      <c r="BZ141" s="134"/>
      <c r="CA141" s="134"/>
      <c r="CB141" s="134"/>
      <c r="CC141" s="134"/>
      <c r="CD141" s="134"/>
      <c r="CE141" s="134"/>
      <c r="CF141" s="134"/>
      <c r="CG141" s="134"/>
      <c r="CH141" s="134"/>
      <c r="CI141" s="134"/>
      <c r="CJ141" s="134"/>
      <c r="CK141" s="134"/>
    </row>
    <row r="142" ht="9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  <c r="AO142" s="134"/>
      <c r="AP142" s="134"/>
      <c r="AQ142" s="134"/>
      <c r="AR142" s="134"/>
      <c r="AS142" s="134"/>
      <c r="AT142" s="134"/>
      <c r="AU142" s="134"/>
      <c r="AV142" s="134"/>
      <c r="AW142" s="134"/>
      <c r="AX142" s="134"/>
      <c r="AY142" s="134"/>
      <c r="AZ142" s="134"/>
      <c r="BA142" s="134"/>
      <c r="BB142" s="134"/>
      <c r="BC142" s="134"/>
      <c r="BD142" s="134"/>
      <c r="BE142" s="134"/>
      <c r="BF142" s="134"/>
      <c r="BG142" s="134"/>
      <c r="BH142" s="134"/>
      <c r="BI142" s="134"/>
      <c r="BJ142" s="134"/>
      <c r="BK142" s="134"/>
      <c r="BL142" s="134"/>
      <c r="BM142" s="134"/>
      <c r="BN142" s="134"/>
      <c r="BO142" s="134"/>
      <c r="BP142" s="134"/>
      <c r="BQ142" s="134"/>
      <c r="BR142" s="134"/>
      <c r="BS142" s="134"/>
      <c r="BT142" s="134"/>
      <c r="BU142" s="134"/>
      <c r="BV142" s="134"/>
      <c r="BW142" s="134"/>
      <c r="BX142" s="134"/>
      <c r="BY142" s="134"/>
      <c r="BZ142" s="134"/>
      <c r="CA142" s="134"/>
      <c r="CB142" s="134"/>
      <c r="CC142" s="134"/>
      <c r="CD142" s="134"/>
      <c r="CE142" s="134"/>
      <c r="CF142" s="134"/>
      <c r="CG142" s="134"/>
      <c r="CH142" s="134"/>
      <c r="CI142" s="134"/>
      <c r="CJ142" s="134"/>
      <c r="CK142" s="134"/>
    </row>
    <row r="143" ht="9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  <c r="CC143" s="134"/>
      <c r="CD143" s="134"/>
      <c r="CE143" s="134"/>
      <c r="CF143" s="134"/>
      <c r="CG143" s="134"/>
      <c r="CH143" s="134"/>
      <c r="CI143" s="134"/>
      <c r="CJ143" s="134"/>
      <c r="CK143" s="134"/>
    </row>
    <row r="144" ht="9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  <c r="AV144" s="134"/>
      <c r="AW144" s="134"/>
      <c r="AX144" s="134"/>
      <c r="AY144" s="134"/>
      <c r="AZ144" s="134"/>
      <c r="BA144" s="134"/>
      <c r="BB144" s="134"/>
      <c r="BC144" s="134"/>
      <c r="BD144" s="134"/>
      <c r="BE144" s="134"/>
      <c r="BF144" s="134"/>
      <c r="BG144" s="134"/>
      <c r="BH144" s="134"/>
      <c r="BI144" s="134"/>
      <c r="BJ144" s="134"/>
      <c r="BK144" s="134"/>
      <c r="BL144" s="134"/>
      <c r="BM144" s="134"/>
      <c r="BN144" s="134"/>
      <c r="BO144" s="134"/>
      <c r="BP144" s="134"/>
      <c r="BQ144" s="134"/>
      <c r="BR144" s="134"/>
      <c r="BS144" s="134"/>
      <c r="BT144" s="134"/>
      <c r="BU144" s="134"/>
      <c r="BV144" s="134"/>
      <c r="BW144" s="134"/>
      <c r="BX144" s="134"/>
      <c r="BY144" s="134"/>
      <c r="BZ144" s="134"/>
      <c r="CA144" s="134"/>
      <c r="CB144" s="134"/>
      <c r="CC144" s="134"/>
      <c r="CD144" s="134"/>
      <c r="CE144" s="134"/>
      <c r="CF144" s="134"/>
      <c r="CG144" s="134"/>
      <c r="CH144" s="134"/>
      <c r="CI144" s="134"/>
      <c r="CJ144" s="134"/>
      <c r="CK144" s="134"/>
    </row>
    <row r="145" ht="9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/>
      <c r="BK145" s="134"/>
      <c r="BL145" s="134"/>
      <c r="BM145" s="134"/>
      <c r="BN145" s="134"/>
      <c r="BO145" s="134"/>
      <c r="BP145" s="134"/>
      <c r="BQ145" s="134"/>
      <c r="BR145" s="134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  <c r="CC145" s="134"/>
      <c r="CD145" s="134"/>
      <c r="CE145" s="134"/>
      <c r="CF145" s="134"/>
      <c r="CG145" s="134"/>
      <c r="CH145" s="134"/>
      <c r="CI145" s="134"/>
      <c r="CJ145" s="134"/>
      <c r="CK145" s="134"/>
    </row>
    <row r="146" ht="9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  <c r="AV146" s="134"/>
      <c r="AW146" s="134"/>
      <c r="AX146" s="134"/>
      <c r="AY146" s="134"/>
      <c r="AZ146" s="134"/>
      <c r="BA146" s="134"/>
      <c r="BB146" s="134"/>
      <c r="BC146" s="134"/>
      <c r="BD146" s="134"/>
      <c r="BE146" s="134"/>
      <c r="BF146" s="134"/>
      <c r="BG146" s="134"/>
      <c r="BH146" s="134"/>
      <c r="BI146" s="134"/>
      <c r="BJ146" s="134"/>
      <c r="BK146" s="134"/>
      <c r="BL146" s="134"/>
      <c r="BM146" s="134"/>
      <c r="BN146" s="134"/>
      <c r="BO146" s="134"/>
      <c r="BP146" s="134"/>
      <c r="BQ146" s="134"/>
      <c r="BR146" s="134"/>
      <c r="BS146" s="134"/>
      <c r="BT146" s="134"/>
      <c r="BU146" s="134"/>
      <c r="BV146" s="134"/>
      <c r="BW146" s="134"/>
      <c r="BX146" s="134"/>
      <c r="BY146" s="134"/>
      <c r="BZ146" s="134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4"/>
      <c r="CK146" s="134"/>
    </row>
    <row r="147" ht="9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  <c r="BM147" s="134"/>
      <c r="BN147" s="134"/>
      <c r="BO147" s="134"/>
      <c r="BP147" s="134"/>
      <c r="BQ147" s="134"/>
      <c r="BR147" s="134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  <c r="CC147" s="134"/>
      <c r="CD147" s="134"/>
      <c r="CE147" s="134"/>
      <c r="CF147" s="134"/>
      <c r="CG147" s="134"/>
      <c r="CH147" s="134"/>
      <c r="CI147" s="134"/>
      <c r="CJ147" s="134"/>
      <c r="CK147" s="134"/>
    </row>
    <row r="148" ht="9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  <c r="BD148" s="134"/>
      <c r="BE148" s="134"/>
      <c r="BF148" s="134"/>
      <c r="BG148" s="134"/>
      <c r="BH148" s="134"/>
      <c r="BI148" s="134"/>
      <c r="BJ148" s="134"/>
      <c r="BK148" s="134"/>
      <c r="BL148" s="134"/>
      <c r="BM148" s="134"/>
      <c r="BN148" s="134"/>
      <c r="BO148" s="134"/>
      <c r="BP148" s="134"/>
      <c r="BQ148" s="134"/>
      <c r="BR148" s="134"/>
      <c r="BS148" s="134"/>
      <c r="BT148" s="134"/>
      <c r="BU148" s="134"/>
      <c r="BV148" s="134"/>
      <c r="BW148" s="134"/>
      <c r="BX148" s="134"/>
      <c r="BY148" s="134"/>
      <c r="BZ148" s="134"/>
      <c r="CA148" s="134"/>
      <c r="CB148" s="134"/>
      <c r="CC148" s="134"/>
      <c r="CD148" s="134"/>
      <c r="CE148" s="134"/>
      <c r="CF148" s="134"/>
      <c r="CG148" s="134"/>
      <c r="CH148" s="134"/>
      <c r="CI148" s="134"/>
      <c r="CJ148" s="134"/>
      <c r="CK148" s="134"/>
    </row>
    <row r="149" ht="9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</row>
    <row r="150" ht="9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  <c r="AV150" s="134"/>
      <c r="AW150" s="134"/>
      <c r="AX150" s="134"/>
      <c r="AY150" s="134"/>
      <c r="AZ150" s="134"/>
      <c r="BA150" s="134"/>
      <c r="BB150" s="134"/>
      <c r="BC150" s="134"/>
      <c r="BD150" s="134"/>
      <c r="BE150" s="134"/>
      <c r="BF150" s="134"/>
      <c r="BG150" s="134"/>
      <c r="BH150" s="134"/>
      <c r="BI150" s="134"/>
      <c r="BJ150" s="134"/>
      <c r="BK150" s="134"/>
      <c r="BL150" s="134"/>
      <c r="BM150" s="134"/>
      <c r="BN150" s="134"/>
      <c r="BO150" s="134"/>
      <c r="BP150" s="134"/>
      <c r="BQ150" s="134"/>
      <c r="BR150" s="134"/>
      <c r="BS150" s="134"/>
      <c r="BT150" s="134"/>
      <c r="BU150" s="134"/>
      <c r="BV150" s="134"/>
      <c r="BW150" s="134"/>
      <c r="BX150" s="134"/>
      <c r="BY150" s="134"/>
      <c r="BZ150" s="134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4"/>
      <c r="CK150" s="134"/>
    </row>
    <row r="151" ht="9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</row>
    <row r="152" ht="9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  <c r="AV152" s="134"/>
      <c r="AW152" s="134"/>
      <c r="AX152" s="134"/>
      <c r="AY152" s="134"/>
      <c r="AZ152" s="134"/>
      <c r="BA152" s="134"/>
      <c r="BB152" s="134"/>
      <c r="BC152" s="134"/>
      <c r="BD152" s="134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134"/>
      <c r="BV152" s="134"/>
      <c r="BW152" s="134"/>
      <c r="BX152" s="134"/>
      <c r="BY152" s="134"/>
      <c r="BZ152" s="134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4"/>
      <c r="CK152" s="134"/>
    </row>
    <row r="153" ht="9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134"/>
      <c r="CK153" s="134"/>
    </row>
    <row r="154" ht="9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134"/>
      <c r="BV154" s="134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</row>
    <row r="155" ht="9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</row>
    <row r="156" ht="9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  <c r="AV156" s="134"/>
      <c r="AW156" s="134"/>
      <c r="AX156" s="134"/>
      <c r="AY156" s="134"/>
      <c r="AZ156" s="134"/>
      <c r="BA156" s="134"/>
      <c r="BB156" s="134"/>
      <c r="BC156" s="134"/>
      <c r="BD156" s="134"/>
      <c r="BE156" s="134"/>
      <c r="BF156" s="134"/>
      <c r="BG156" s="134"/>
      <c r="BH156" s="134"/>
      <c r="BI156" s="134"/>
      <c r="BJ156" s="134"/>
      <c r="BK156" s="134"/>
      <c r="BL156" s="134"/>
      <c r="BM156" s="134"/>
      <c r="BN156" s="134"/>
      <c r="BO156" s="134"/>
      <c r="BP156" s="134"/>
      <c r="BQ156" s="134"/>
      <c r="BR156" s="134"/>
      <c r="BS156" s="134"/>
      <c r="BT156" s="134"/>
      <c r="BU156" s="134"/>
      <c r="BV156" s="134"/>
      <c r="BW156" s="134"/>
      <c r="BX156" s="134"/>
      <c r="BY156" s="134"/>
      <c r="BZ156" s="134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134"/>
      <c r="CK156" s="134"/>
    </row>
    <row r="157" ht="9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  <c r="BM157" s="134"/>
      <c r="BN157" s="134"/>
      <c r="BO157" s="134"/>
      <c r="BP157" s="134"/>
      <c r="BQ157" s="134"/>
      <c r="BR157" s="134"/>
      <c r="BS157" s="134"/>
      <c r="BT157" s="134"/>
      <c r="BU157" s="134"/>
      <c r="BV157" s="134"/>
      <c r="BW157" s="134"/>
      <c r="BX157" s="134"/>
      <c r="BY157" s="134"/>
      <c r="BZ157" s="134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134"/>
      <c r="CK157" s="134"/>
    </row>
    <row r="158" ht="9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34"/>
      <c r="AW158" s="134"/>
      <c r="AX158" s="134"/>
      <c r="AY158" s="134"/>
      <c r="AZ158" s="134"/>
      <c r="BA158" s="134"/>
      <c r="BB158" s="134"/>
      <c r="BC158" s="134"/>
      <c r="BD158" s="134"/>
      <c r="BE158" s="134"/>
      <c r="BF158" s="134"/>
      <c r="BG158" s="134"/>
      <c r="BH158" s="134"/>
      <c r="BI158" s="134"/>
      <c r="BJ158" s="134"/>
      <c r="BK158" s="134"/>
      <c r="BL158" s="134"/>
      <c r="BM158" s="134"/>
      <c r="BN158" s="134"/>
      <c r="BO158" s="134"/>
      <c r="BP158" s="134"/>
      <c r="BQ158" s="134"/>
      <c r="BR158" s="134"/>
      <c r="BS158" s="134"/>
      <c r="BT158" s="134"/>
      <c r="BU158" s="134"/>
      <c r="BV158" s="134"/>
      <c r="BW158" s="134"/>
      <c r="BX158" s="134"/>
      <c r="BY158" s="134"/>
      <c r="BZ158" s="134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134"/>
      <c r="CK158" s="134"/>
    </row>
    <row r="159" ht="9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  <c r="BM159" s="134"/>
      <c r="BN159" s="134"/>
      <c r="BO159" s="134"/>
      <c r="BP159" s="134"/>
      <c r="BQ159" s="134"/>
      <c r="BR159" s="134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134"/>
      <c r="CK159" s="134"/>
    </row>
    <row r="160" ht="9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4"/>
      <c r="BD160" s="134"/>
      <c r="BE160" s="134"/>
      <c r="BF160" s="134"/>
      <c r="BG160" s="134"/>
      <c r="BH160" s="134"/>
      <c r="BI160" s="134"/>
      <c r="BJ160" s="134"/>
      <c r="BK160" s="134"/>
      <c r="BL160" s="134"/>
      <c r="BM160" s="134"/>
      <c r="BN160" s="134"/>
      <c r="BO160" s="134"/>
      <c r="BP160" s="134"/>
      <c r="BQ160" s="134"/>
      <c r="BR160" s="134"/>
      <c r="BS160" s="134"/>
      <c r="BT160" s="134"/>
      <c r="BU160" s="134"/>
      <c r="BV160" s="134"/>
      <c r="BW160" s="134"/>
      <c r="BX160" s="134"/>
      <c r="BY160" s="134"/>
      <c r="BZ160" s="134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134"/>
      <c r="CK160" s="134"/>
    </row>
    <row r="161" ht="9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  <c r="BM161" s="134"/>
      <c r="BN161" s="134"/>
      <c r="BO161" s="134"/>
      <c r="BP161" s="134"/>
      <c r="BQ161" s="134"/>
      <c r="BR161" s="134"/>
      <c r="BS161" s="134"/>
      <c r="BT161" s="134"/>
      <c r="BU161" s="134"/>
      <c r="BV161" s="134"/>
      <c r="BW161" s="134"/>
      <c r="BX161" s="134"/>
      <c r="BY161" s="134"/>
      <c r="BZ161" s="134"/>
      <c r="CA161" s="134"/>
      <c r="CB161" s="134"/>
      <c r="CC161" s="134"/>
      <c r="CD161" s="134"/>
      <c r="CE161" s="134"/>
      <c r="CF161" s="134"/>
      <c r="CG161" s="134"/>
      <c r="CH161" s="134"/>
      <c r="CI161" s="134"/>
      <c r="CJ161" s="134"/>
      <c r="CK161" s="134"/>
    </row>
    <row r="162" ht="9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  <c r="AV162" s="134"/>
      <c r="AW162" s="134"/>
      <c r="AX162" s="134"/>
      <c r="AY162" s="134"/>
      <c r="AZ162" s="134"/>
      <c r="BA162" s="134"/>
      <c r="BB162" s="134"/>
      <c r="BC162" s="134"/>
      <c r="BD162" s="134"/>
      <c r="BE162" s="134"/>
      <c r="BF162" s="134"/>
      <c r="BG162" s="134"/>
      <c r="BH162" s="134"/>
      <c r="BI162" s="134"/>
      <c r="BJ162" s="134"/>
      <c r="BK162" s="134"/>
      <c r="BL162" s="134"/>
      <c r="BM162" s="134"/>
      <c r="BN162" s="134"/>
      <c r="BO162" s="134"/>
      <c r="BP162" s="134"/>
      <c r="BQ162" s="134"/>
      <c r="BR162" s="134"/>
      <c r="BS162" s="134"/>
      <c r="BT162" s="134"/>
      <c r="BU162" s="134"/>
      <c r="BV162" s="134"/>
      <c r="BW162" s="134"/>
      <c r="BX162" s="134"/>
      <c r="BY162" s="134"/>
      <c r="BZ162" s="134"/>
      <c r="CA162" s="134"/>
      <c r="CB162" s="134"/>
      <c r="CC162" s="134"/>
      <c r="CD162" s="134"/>
      <c r="CE162" s="134"/>
      <c r="CF162" s="134"/>
      <c r="CG162" s="134"/>
      <c r="CH162" s="134"/>
      <c r="CI162" s="134"/>
      <c r="CJ162" s="134"/>
      <c r="CK162" s="134"/>
    </row>
    <row r="163" ht="9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</row>
    <row r="164" ht="9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  <c r="AV164" s="134"/>
      <c r="AW164" s="134"/>
      <c r="AX164" s="134"/>
      <c r="AY164" s="134"/>
      <c r="AZ164" s="134"/>
      <c r="BA164" s="134"/>
      <c r="BB164" s="134"/>
      <c r="BC164" s="134"/>
      <c r="BD164" s="134"/>
      <c r="BE164" s="134"/>
      <c r="BF164" s="134"/>
      <c r="BG164" s="134"/>
      <c r="BH164" s="134"/>
      <c r="BI164" s="134"/>
      <c r="BJ164" s="134"/>
      <c r="BK164" s="134"/>
      <c r="BL164" s="134"/>
      <c r="BM164" s="134"/>
      <c r="BN164" s="134"/>
      <c r="BO164" s="134"/>
      <c r="BP164" s="134"/>
      <c r="BQ164" s="134"/>
      <c r="BR164" s="134"/>
      <c r="BS164" s="134"/>
      <c r="BT164" s="134"/>
      <c r="BU164" s="134"/>
      <c r="BV164" s="134"/>
      <c r="BW164" s="134"/>
      <c r="BX164" s="134"/>
      <c r="BY164" s="134"/>
      <c r="BZ164" s="134"/>
      <c r="CA164" s="134"/>
      <c r="CB164" s="134"/>
      <c r="CC164" s="134"/>
      <c r="CD164" s="134"/>
      <c r="CE164" s="134"/>
      <c r="CF164" s="134"/>
      <c r="CG164" s="134"/>
      <c r="CH164" s="134"/>
      <c r="CI164" s="134"/>
      <c r="CJ164" s="134"/>
      <c r="CK164" s="134"/>
    </row>
    <row r="165" ht="9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  <c r="BF165" s="134"/>
      <c r="BG165" s="134"/>
      <c r="BH165" s="134"/>
      <c r="BI165" s="134"/>
      <c r="BJ165" s="134"/>
      <c r="BK165" s="134"/>
      <c r="BL165" s="134"/>
      <c r="BM165" s="134"/>
      <c r="BN165" s="134"/>
      <c r="BO165" s="134"/>
      <c r="BP165" s="134"/>
      <c r="BQ165" s="134"/>
      <c r="BR165" s="134"/>
      <c r="BS165" s="134"/>
      <c r="BT165" s="134"/>
      <c r="BU165" s="134"/>
      <c r="BV165" s="134"/>
      <c r="BW165" s="134"/>
      <c r="BX165" s="134"/>
      <c r="BY165" s="134"/>
      <c r="BZ165" s="134"/>
      <c r="CA165" s="134"/>
      <c r="CB165" s="134"/>
      <c r="CC165" s="134"/>
      <c r="CD165" s="134"/>
      <c r="CE165" s="134"/>
      <c r="CF165" s="134"/>
      <c r="CG165" s="134"/>
      <c r="CH165" s="134"/>
      <c r="CI165" s="134"/>
      <c r="CJ165" s="134"/>
      <c r="CK165" s="134"/>
    </row>
    <row r="166" ht="9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  <c r="AV166" s="134"/>
      <c r="AW166" s="134"/>
      <c r="AX166" s="134"/>
      <c r="AY166" s="134"/>
      <c r="AZ166" s="134"/>
      <c r="BA166" s="134"/>
      <c r="BB166" s="134"/>
      <c r="BC166" s="134"/>
      <c r="BD166" s="134"/>
      <c r="BE166" s="134"/>
      <c r="BF166" s="134"/>
      <c r="BG166" s="134"/>
      <c r="BH166" s="134"/>
      <c r="BI166" s="134"/>
      <c r="BJ166" s="134"/>
      <c r="BK166" s="134"/>
      <c r="BL166" s="134"/>
      <c r="BM166" s="134"/>
      <c r="BN166" s="134"/>
      <c r="BO166" s="134"/>
      <c r="BP166" s="134"/>
      <c r="BQ166" s="134"/>
      <c r="BR166" s="134"/>
      <c r="BS166" s="134"/>
      <c r="BT166" s="134"/>
      <c r="BU166" s="134"/>
      <c r="BV166" s="134"/>
      <c r="BW166" s="134"/>
      <c r="BX166" s="134"/>
      <c r="BY166" s="134"/>
      <c r="BZ166" s="134"/>
      <c r="CA166" s="134"/>
      <c r="CB166" s="134"/>
      <c r="CC166" s="134"/>
      <c r="CD166" s="134"/>
      <c r="CE166" s="134"/>
      <c r="CF166" s="134"/>
      <c r="CG166" s="134"/>
      <c r="CH166" s="134"/>
      <c r="CI166" s="134"/>
      <c r="CJ166" s="134"/>
      <c r="CK166" s="134"/>
    </row>
    <row r="167" ht="9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  <c r="BF167" s="134"/>
      <c r="BG167" s="134"/>
      <c r="BH167" s="134"/>
      <c r="BI167" s="134"/>
      <c r="BJ167" s="134"/>
      <c r="BK167" s="134"/>
      <c r="BL167" s="134"/>
      <c r="BM167" s="134"/>
      <c r="BN167" s="134"/>
      <c r="BO167" s="134"/>
      <c r="BP167" s="134"/>
      <c r="BQ167" s="134"/>
      <c r="BR167" s="134"/>
      <c r="BS167" s="134"/>
      <c r="BT167" s="134"/>
      <c r="BU167" s="134"/>
      <c r="BV167" s="134"/>
      <c r="BW167" s="134"/>
      <c r="BX167" s="134"/>
      <c r="BY167" s="134"/>
      <c r="BZ167" s="134"/>
      <c r="CA167" s="134"/>
      <c r="CB167" s="134"/>
      <c r="CC167" s="134"/>
      <c r="CD167" s="134"/>
      <c r="CE167" s="134"/>
      <c r="CF167" s="134"/>
      <c r="CG167" s="134"/>
      <c r="CH167" s="134"/>
      <c r="CI167" s="134"/>
      <c r="CJ167" s="134"/>
      <c r="CK167" s="134"/>
    </row>
    <row r="168" ht="9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  <c r="AQ168" s="134"/>
      <c r="AR168" s="134"/>
      <c r="AS168" s="134"/>
      <c r="AT168" s="134"/>
      <c r="AU168" s="134"/>
      <c r="AV168" s="134"/>
      <c r="AW168" s="134"/>
      <c r="AX168" s="134"/>
      <c r="AY168" s="134"/>
      <c r="AZ168" s="134"/>
      <c r="BA168" s="134"/>
      <c r="BB168" s="134"/>
      <c r="BC168" s="134"/>
      <c r="BD168" s="134"/>
      <c r="BE168" s="134"/>
      <c r="BF168" s="134"/>
      <c r="BG168" s="134"/>
      <c r="BH168" s="134"/>
      <c r="BI168" s="134"/>
      <c r="BJ168" s="134"/>
      <c r="BK168" s="134"/>
      <c r="BL168" s="134"/>
      <c r="BM168" s="134"/>
      <c r="BN168" s="134"/>
      <c r="BO168" s="134"/>
      <c r="BP168" s="134"/>
      <c r="BQ168" s="134"/>
      <c r="BR168" s="134"/>
      <c r="BS168" s="134"/>
      <c r="BT168" s="134"/>
      <c r="BU168" s="134"/>
      <c r="BV168" s="134"/>
      <c r="BW168" s="134"/>
      <c r="BX168" s="134"/>
      <c r="BY168" s="134"/>
      <c r="BZ168" s="134"/>
      <c r="CA168" s="134"/>
      <c r="CB168" s="134"/>
      <c r="CC168" s="134"/>
      <c r="CD168" s="134"/>
      <c r="CE168" s="134"/>
      <c r="CF168" s="134"/>
      <c r="CG168" s="134"/>
      <c r="CH168" s="134"/>
      <c r="CI168" s="134"/>
      <c r="CJ168" s="134"/>
      <c r="CK168" s="134"/>
    </row>
    <row r="169" ht="9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  <c r="BM169" s="134"/>
      <c r="BN169" s="134"/>
      <c r="BO169" s="134"/>
      <c r="BP169" s="134"/>
      <c r="BQ169" s="134"/>
      <c r="BR169" s="134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  <c r="CC169" s="134"/>
      <c r="CD169" s="134"/>
      <c r="CE169" s="134"/>
      <c r="CF169" s="134"/>
      <c r="CG169" s="134"/>
      <c r="CH169" s="134"/>
      <c r="CI169" s="134"/>
      <c r="CJ169" s="134"/>
      <c r="CK169" s="134"/>
    </row>
    <row r="170" ht="9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  <c r="BF170" s="134"/>
      <c r="BG170" s="134"/>
      <c r="BH170" s="134"/>
      <c r="BI170" s="134"/>
      <c r="BJ170" s="134"/>
      <c r="BK170" s="134"/>
      <c r="BL170" s="134"/>
      <c r="BM170" s="134"/>
      <c r="BN170" s="134"/>
      <c r="BO170" s="134"/>
      <c r="BP170" s="134"/>
      <c r="BQ170" s="134"/>
      <c r="BR170" s="134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</row>
    <row r="171" ht="9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  <c r="BF171" s="134"/>
      <c r="BG171" s="134"/>
      <c r="BH171" s="134"/>
      <c r="BI171" s="134"/>
      <c r="BJ171" s="134"/>
      <c r="BK171" s="134"/>
      <c r="BL171" s="134"/>
      <c r="BM171" s="134"/>
      <c r="BN171" s="134"/>
      <c r="BO171" s="134"/>
      <c r="BP171" s="134"/>
      <c r="BQ171" s="134"/>
      <c r="BR171" s="134"/>
      <c r="BS171" s="134"/>
      <c r="BT171" s="134"/>
      <c r="BU171" s="134"/>
      <c r="BV171" s="134"/>
      <c r="BW171" s="134"/>
      <c r="BX171" s="134"/>
      <c r="BY171" s="134"/>
      <c r="BZ171" s="134"/>
      <c r="CA171" s="134"/>
      <c r="CB171" s="134"/>
      <c r="CC171" s="134"/>
      <c r="CD171" s="134"/>
      <c r="CE171" s="134"/>
      <c r="CF171" s="134"/>
      <c r="CG171" s="134"/>
      <c r="CH171" s="134"/>
      <c r="CI171" s="134"/>
      <c r="CJ171" s="134"/>
      <c r="CK171" s="134"/>
    </row>
    <row r="172" ht="9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  <c r="AV172" s="134"/>
      <c r="AW172" s="134"/>
      <c r="AX172" s="134"/>
      <c r="AY172" s="134"/>
      <c r="AZ172" s="134"/>
      <c r="BA172" s="134"/>
      <c r="BB172" s="134"/>
      <c r="BC172" s="134"/>
      <c r="BD172" s="134"/>
      <c r="BE172" s="134"/>
      <c r="BF172" s="134"/>
      <c r="BG172" s="134"/>
      <c r="BH172" s="134"/>
      <c r="BI172" s="134"/>
      <c r="BJ172" s="134"/>
      <c r="BK172" s="134"/>
      <c r="BL172" s="134"/>
      <c r="BM172" s="134"/>
      <c r="BN172" s="134"/>
      <c r="BO172" s="134"/>
      <c r="BP172" s="134"/>
      <c r="BQ172" s="134"/>
      <c r="BR172" s="134"/>
      <c r="BS172" s="134"/>
      <c r="BT172" s="134"/>
      <c r="BU172" s="134"/>
      <c r="BV172" s="134"/>
      <c r="BW172" s="134"/>
      <c r="BX172" s="134"/>
      <c r="BY172" s="134"/>
      <c r="BZ172" s="134"/>
      <c r="CA172" s="134"/>
      <c r="CB172" s="134"/>
      <c r="CC172" s="134"/>
      <c r="CD172" s="134"/>
      <c r="CE172" s="134"/>
      <c r="CF172" s="134"/>
      <c r="CG172" s="134"/>
      <c r="CH172" s="134"/>
      <c r="CI172" s="134"/>
      <c r="CJ172" s="134"/>
      <c r="CK172" s="134"/>
    </row>
    <row r="173" ht="9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/>
      <c r="AX173" s="134"/>
      <c r="AY173" s="134"/>
      <c r="AZ173" s="134"/>
      <c r="BA173" s="134"/>
      <c r="BB173" s="134"/>
      <c r="BC173" s="134"/>
      <c r="BD173" s="134"/>
      <c r="BE173" s="134"/>
      <c r="BF173" s="134"/>
      <c r="BG173" s="134"/>
      <c r="BH173" s="134"/>
      <c r="BI173" s="134"/>
      <c r="BJ173" s="134"/>
      <c r="BK173" s="134"/>
      <c r="BL173" s="134"/>
      <c r="BM173" s="134"/>
      <c r="BN173" s="134"/>
      <c r="BO173" s="134"/>
      <c r="BP173" s="134"/>
      <c r="BQ173" s="134"/>
      <c r="BR173" s="134"/>
      <c r="BS173" s="134"/>
      <c r="BT173" s="134"/>
      <c r="BU173" s="134"/>
      <c r="BV173" s="134"/>
      <c r="BW173" s="134"/>
      <c r="BX173" s="134"/>
      <c r="BY173" s="134"/>
      <c r="BZ173" s="134"/>
      <c r="CA173" s="134"/>
      <c r="CB173" s="134"/>
      <c r="CC173" s="134"/>
      <c r="CD173" s="134"/>
      <c r="CE173" s="134"/>
      <c r="CF173" s="134"/>
      <c r="CG173" s="134"/>
      <c r="CH173" s="134"/>
      <c r="CI173" s="134"/>
      <c r="CJ173" s="134"/>
      <c r="CK173" s="134"/>
    </row>
    <row r="174" ht="9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  <c r="AV174" s="134"/>
      <c r="AW174" s="134"/>
      <c r="AX174" s="134"/>
      <c r="AY174" s="134"/>
      <c r="AZ174" s="134"/>
      <c r="BA174" s="134"/>
      <c r="BB174" s="134"/>
      <c r="BC174" s="134"/>
      <c r="BD174" s="134"/>
      <c r="BE174" s="134"/>
      <c r="BF174" s="134"/>
      <c r="BG174" s="134"/>
      <c r="BH174" s="134"/>
      <c r="BI174" s="134"/>
      <c r="BJ174" s="134"/>
      <c r="BK174" s="134"/>
      <c r="BL174" s="134"/>
      <c r="BM174" s="134"/>
      <c r="BN174" s="134"/>
      <c r="BO174" s="134"/>
      <c r="BP174" s="134"/>
      <c r="BQ174" s="134"/>
      <c r="BR174" s="134"/>
      <c r="BS174" s="134"/>
      <c r="BT174" s="134"/>
      <c r="BU174" s="134"/>
      <c r="BV174" s="134"/>
      <c r="BW174" s="134"/>
      <c r="BX174" s="134"/>
      <c r="BY174" s="134"/>
      <c r="BZ174" s="134"/>
      <c r="CA174" s="134"/>
      <c r="CB174" s="134"/>
      <c r="CC174" s="134"/>
      <c r="CD174" s="134"/>
      <c r="CE174" s="134"/>
      <c r="CF174" s="134"/>
      <c r="CG174" s="134"/>
      <c r="CH174" s="134"/>
      <c r="CI174" s="134"/>
      <c r="CJ174" s="134"/>
      <c r="CK174" s="134"/>
    </row>
    <row r="175" ht="9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  <c r="BF175" s="134"/>
      <c r="BG175" s="134"/>
      <c r="BH175" s="134"/>
      <c r="BI175" s="134"/>
      <c r="BJ175" s="134"/>
      <c r="BK175" s="134"/>
      <c r="BL175" s="134"/>
      <c r="BM175" s="134"/>
      <c r="BN175" s="134"/>
      <c r="BO175" s="134"/>
      <c r="BP175" s="134"/>
      <c r="BQ175" s="134"/>
      <c r="BR175" s="134"/>
      <c r="BS175" s="134"/>
      <c r="BT175" s="134"/>
      <c r="BU175" s="134"/>
      <c r="BV175" s="134"/>
      <c r="BW175" s="134"/>
      <c r="BX175" s="134"/>
      <c r="BY175" s="134"/>
      <c r="BZ175" s="134"/>
      <c r="CA175" s="134"/>
      <c r="CB175" s="134"/>
      <c r="CC175" s="134"/>
      <c r="CD175" s="134"/>
      <c r="CE175" s="134"/>
      <c r="CF175" s="134"/>
      <c r="CG175" s="134"/>
      <c r="CH175" s="134"/>
      <c r="CI175" s="134"/>
      <c r="CJ175" s="134"/>
      <c r="CK175" s="134"/>
    </row>
    <row r="176" ht="9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  <c r="AO176" s="134"/>
      <c r="AP176" s="134"/>
      <c r="AQ176" s="134"/>
      <c r="AR176" s="134"/>
      <c r="AS176" s="134"/>
      <c r="AT176" s="134"/>
      <c r="AU176" s="134"/>
      <c r="AV176" s="134"/>
      <c r="AW176" s="134"/>
      <c r="AX176" s="134"/>
      <c r="AY176" s="134"/>
      <c r="AZ176" s="134"/>
      <c r="BA176" s="134"/>
      <c r="BB176" s="134"/>
      <c r="BC176" s="134"/>
      <c r="BD176" s="134"/>
      <c r="BE176" s="134"/>
      <c r="BF176" s="134"/>
      <c r="BG176" s="134"/>
      <c r="BH176" s="134"/>
      <c r="BI176" s="134"/>
      <c r="BJ176" s="134"/>
      <c r="BK176" s="134"/>
      <c r="BL176" s="134"/>
      <c r="BM176" s="134"/>
      <c r="BN176" s="134"/>
      <c r="BO176" s="134"/>
      <c r="BP176" s="134"/>
      <c r="BQ176" s="134"/>
      <c r="BR176" s="134"/>
      <c r="BS176" s="134"/>
      <c r="BT176" s="134"/>
      <c r="BU176" s="134"/>
      <c r="BV176" s="134"/>
      <c r="BW176" s="134"/>
      <c r="BX176" s="134"/>
      <c r="BY176" s="134"/>
      <c r="BZ176" s="134"/>
      <c r="CA176" s="134"/>
      <c r="CB176" s="134"/>
      <c r="CC176" s="134"/>
      <c r="CD176" s="134"/>
      <c r="CE176" s="134"/>
      <c r="CF176" s="134"/>
      <c r="CG176" s="134"/>
      <c r="CH176" s="134"/>
      <c r="CI176" s="134"/>
      <c r="CJ176" s="134"/>
      <c r="CK176" s="134"/>
    </row>
    <row r="177" ht="9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  <c r="BF177" s="134"/>
      <c r="BG177" s="134"/>
      <c r="BH177" s="134"/>
      <c r="BI177" s="134"/>
      <c r="BJ177" s="134"/>
      <c r="BK177" s="134"/>
      <c r="BL177" s="134"/>
      <c r="BM177" s="134"/>
      <c r="BN177" s="134"/>
      <c r="BO177" s="134"/>
      <c r="BP177" s="134"/>
      <c r="BQ177" s="134"/>
      <c r="BR177" s="134"/>
      <c r="BS177" s="134"/>
      <c r="BT177" s="134"/>
      <c r="BU177" s="134"/>
      <c r="BV177" s="134"/>
      <c r="BW177" s="134"/>
      <c r="BX177" s="134"/>
      <c r="BY177" s="134"/>
      <c r="BZ177" s="134"/>
      <c r="CA177" s="134"/>
      <c r="CB177" s="134"/>
      <c r="CC177" s="134"/>
      <c r="CD177" s="134"/>
      <c r="CE177" s="134"/>
      <c r="CF177" s="134"/>
      <c r="CG177" s="134"/>
      <c r="CH177" s="134"/>
      <c r="CI177" s="134"/>
      <c r="CJ177" s="134"/>
      <c r="CK177" s="134"/>
    </row>
    <row r="178" ht="9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  <c r="AO178" s="134"/>
      <c r="AP178" s="134"/>
      <c r="AQ178" s="134"/>
      <c r="AR178" s="134"/>
      <c r="AS178" s="134"/>
      <c r="AT178" s="134"/>
      <c r="AU178" s="134"/>
      <c r="AV178" s="134"/>
      <c r="AW178" s="134"/>
      <c r="AX178" s="134"/>
      <c r="AY178" s="134"/>
      <c r="AZ178" s="134"/>
      <c r="BA178" s="134"/>
      <c r="BB178" s="134"/>
      <c r="BC178" s="134"/>
      <c r="BD178" s="134"/>
      <c r="BE178" s="134"/>
      <c r="BF178" s="134"/>
      <c r="BG178" s="134"/>
      <c r="BH178" s="134"/>
      <c r="BI178" s="134"/>
      <c r="BJ178" s="134"/>
      <c r="BK178" s="134"/>
      <c r="BL178" s="134"/>
      <c r="BM178" s="134"/>
      <c r="BN178" s="134"/>
      <c r="BO178" s="134"/>
      <c r="BP178" s="134"/>
      <c r="BQ178" s="134"/>
      <c r="BR178" s="134"/>
      <c r="BS178" s="134"/>
      <c r="BT178" s="134"/>
      <c r="BU178" s="134"/>
      <c r="BV178" s="134"/>
      <c r="BW178" s="134"/>
      <c r="BX178" s="134"/>
      <c r="BY178" s="134"/>
      <c r="BZ178" s="134"/>
      <c r="CA178" s="134"/>
      <c r="CB178" s="134"/>
      <c r="CC178" s="134"/>
      <c r="CD178" s="134"/>
      <c r="CE178" s="134"/>
      <c r="CF178" s="134"/>
      <c r="CG178" s="134"/>
      <c r="CH178" s="134"/>
      <c r="CI178" s="134"/>
      <c r="CJ178" s="134"/>
      <c r="CK178" s="134"/>
    </row>
    <row r="179" ht="9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  <c r="BF179" s="134"/>
      <c r="BG179" s="134"/>
      <c r="BH179" s="134"/>
      <c r="BI179" s="134"/>
      <c r="BJ179" s="134"/>
      <c r="BK179" s="134"/>
      <c r="BL179" s="134"/>
      <c r="BM179" s="134"/>
      <c r="BN179" s="134"/>
      <c r="BO179" s="134"/>
      <c r="BP179" s="134"/>
      <c r="BQ179" s="134"/>
      <c r="BR179" s="134"/>
      <c r="BS179" s="134"/>
      <c r="BT179" s="134"/>
      <c r="BU179" s="134"/>
      <c r="BV179" s="134"/>
      <c r="BW179" s="134"/>
      <c r="BX179" s="134"/>
      <c r="BY179" s="134"/>
      <c r="BZ179" s="134"/>
      <c r="CA179" s="134"/>
      <c r="CB179" s="134"/>
      <c r="CC179" s="134"/>
      <c r="CD179" s="134"/>
      <c r="CE179" s="134"/>
      <c r="CF179" s="134"/>
      <c r="CG179" s="134"/>
      <c r="CH179" s="134"/>
      <c r="CI179" s="134"/>
      <c r="CJ179" s="134"/>
      <c r="CK179" s="134"/>
    </row>
    <row r="180" ht="9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  <c r="AV180" s="134"/>
      <c r="AW180" s="134"/>
      <c r="AX180" s="134"/>
      <c r="AY180" s="134"/>
      <c r="AZ180" s="134"/>
      <c r="BA180" s="134"/>
      <c r="BB180" s="134"/>
      <c r="BC180" s="134"/>
      <c r="BD180" s="134"/>
      <c r="BE180" s="134"/>
      <c r="BF180" s="134"/>
      <c r="BG180" s="134"/>
      <c r="BH180" s="134"/>
      <c r="BI180" s="134"/>
      <c r="BJ180" s="134"/>
      <c r="BK180" s="134"/>
      <c r="BL180" s="134"/>
      <c r="BM180" s="134"/>
      <c r="BN180" s="134"/>
      <c r="BO180" s="134"/>
      <c r="BP180" s="134"/>
      <c r="BQ180" s="134"/>
      <c r="BR180" s="134"/>
      <c r="BS180" s="134"/>
      <c r="BT180" s="134"/>
      <c r="BU180" s="134"/>
      <c r="BV180" s="134"/>
      <c r="BW180" s="134"/>
      <c r="BX180" s="134"/>
      <c r="BY180" s="134"/>
      <c r="BZ180" s="134"/>
      <c r="CA180" s="134"/>
      <c r="CB180" s="134"/>
      <c r="CC180" s="134"/>
      <c r="CD180" s="134"/>
      <c r="CE180" s="134"/>
      <c r="CF180" s="134"/>
      <c r="CG180" s="134"/>
      <c r="CH180" s="134"/>
      <c r="CI180" s="134"/>
      <c r="CJ180" s="134"/>
      <c r="CK180" s="134"/>
    </row>
    <row r="181" ht="9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  <c r="AV181" s="134"/>
      <c r="AW181" s="134"/>
      <c r="AX181" s="134"/>
      <c r="AY181" s="134"/>
      <c r="AZ181" s="134"/>
      <c r="BA181" s="134"/>
      <c r="BB181" s="134"/>
      <c r="BC181" s="134"/>
      <c r="BD181" s="134"/>
      <c r="BE181" s="134"/>
      <c r="BF181" s="134"/>
      <c r="BG181" s="134"/>
      <c r="BH181" s="134"/>
      <c r="BI181" s="134"/>
      <c r="BJ181" s="134"/>
      <c r="BK181" s="134"/>
      <c r="BL181" s="134"/>
      <c r="BM181" s="134"/>
      <c r="BN181" s="134"/>
      <c r="BO181" s="134"/>
      <c r="BP181" s="134"/>
      <c r="BQ181" s="134"/>
      <c r="BR181" s="134"/>
      <c r="BS181" s="134"/>
      <c r="BT181" s="134"/>
      <c r="BU181" s="134"/>
      <c r="BV181" s="134"/>
      <c r="BW181" s="134"/>
      <c r="BX181" s="134"/>
      <c r="BY181" s="134"/>
      <c r="BZ181" s="134"/>
      <c r="CA181" s="134"/>
      <c r="CB181" s="134"/>
      <c r="CC181" s="134"/>
      <c r="CD181" s="134"/>
      <c r="CE181" s="134"/>
      <c r="CF181" s="134"/>
      <c r="CG181" s="134"/>
      <c r="CH181" s="134"/>
      <c r="CI181" s="134"/>
      <c r="CJ181" s="134"/>
      <c r="CK181" s="134"/>
    </row>
    <row r="182" ht="9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/>
      <c r="AX182" s="134"/>
      <c r="AY182" s="134"/>
      <c r="AZ182" s="134"/>
      <c r="BA182" s="134"/>
      <c r="BB182" s="134"/>
      <c r="BC182" s="134"/>
      <c r="BD182" s="134"/>
      <c r="BE182" s="134"/>
      <c r="BF182" s="134"/>
      <c r="BG182" s="134"/>
      <c r="BH182" s="134"/>
      <c r="BI182" s="134"/>
      <c r="BJ182" s="134"/>
      <c r="BK182" s="134"/>
      <c r="BL182" s="134"/>
      <c r="BM182" s="134"/>
      <c r="BN182" s="134"/>
      <c r="BO182" s="134"/>
      <c r="BP182" s="134"/>
      <c r="BQ182" s="134"/>
      <c r="BR182" s="134"/>
      <c r="BS182" s="134"/>
      <c r="BT182" s="134"/>
      <c r="BU182" s="134"/>
      <c r="BV182" s="134"/>
      <c r="BW182" s="134"/>
      <c r="BX182" s="134"/>
      <c r="BY182" s="134"/>
      <c r="BZ182" s="134"/>
      <c r="CA182" s="134"/>
      <c r="CB182" s="134"/>
      <c r="CC182" s="134"/>
      <c r="CD182" s="134"/>
      <c r="CE182" s="134"/>
      <c r="CF182" s="134"/>
      <c r="CG182" s="134"/>
      <c r="CH182" s="134"/>
      <c r="CI182" s="134"/>
      <c r="CJ182" s="134"/>
      <c r="CK182" s="134"/>
    </row>
    <row r="183" ht="9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  <c r="AV183" s="134"/>
      <c r="AW183" s="134"/>
      <c r="AX183" s="134"/>
      <c r="AY183" s="134"/>
      <c r="AZ183" s="134"/>
      <c r="BA183" s="134"/>
      <c r="BB183" s="134"/>
      <c r="BC183" s="134"/>
      <c r="BD183" s="134"/>
      <c r="BE183" s="134"/>
      <c r="BF183" s="134"/>
      <c r="BG183" s="134"/>
      <c r="BH183" s="134"/>
      <c r="BI183" s="134"/>
      <c r="BJ183" s="134"/>
      <c r="BK183" s="134"/>
      <c r="BL183" s="134"/>
      <c r="BM183" s="134"/>
      <c r="BN183" s="134"/>
      <c r="BO183" s="134"/>
      <c r="BP183" s="134"/>
      <c r="BQ183" s="134"/>
      <c r="BR183" s="134"/>
      <c r="BS183" s="134"/>
      <c r="BT183" s="134"/>
      <c r="BU183" s="134"/>
      <c r="BV183" s="134"/>
      <c r="BW183" s="134"/>
      <c r="BX183" s="134"/>
      <c r="BY183" s="134"/>
      <c r="BZ183" s="134"/>
      <c r="CA183" s="134"/>
      <c r="CB183" s="134"/>
      <c r="CC183" s="134"/>
      <c r="CD183" s="134"/>
      <c r="CE183" s="134"/>
      <c r="CF183" s="134"/>
      <c r="CG183" s="134"/>
      <c r="CH183" s="134"/>
      <c r="CI183" s="134"/>
      <c r="CJ183" s="134"/>
      <c r="CK183" s="134"/>
    </row>
    <row r="184" ht="9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/>
      <c r="AX184" s="134"/>
      <c r="AY184" s="134"/>
      <c r="AZ184" s="134"/>
      <c r="BA184" s="134"/>
      <c r="BB184" s="134"/>
      <c r="BC184" s="134"/>
      <c r="BD184" s="134"/>
      <c r="BE184" s="134"/>
      <c r="BF184" s="134"/>
      <c r="BG184" s="134"/>
      <c r="BH184" s="134"/>
      <c r="BI184" s="134"/>
      <c r="BJ184" s="134"/>
      <c r="BK184" s="134"/>
      <c r="BL184" s="134"/>
      <c r="BM184" s="134"/>
      <c r="BN184" s="134"/>
      <c r="BO184" s="134"/>
      <c r="BP184" s="134"/>
      <c r="BQ184" s="134"/>
      <c r="BR184" s="134"/>
      <c r="BS184" s="134"/>
      <c r="BT184" s="134"/>
      <c r="BU184" s="134"/>
      <c r="BV184" s="134"/>
      <c r="BW184" s="134"/>
      <c r="BX184" s="134"/>
      <c r="BY184" s="134"/>
      <c r="BZ184" s="134"/>
      <c r="CA184" s="134"/>
      <c r="CB184" s="134"/>
      <c r="CC184" s="134"/>
      <c r="CD184" s="134"/>
      <c r="CE184" s="134"/>
      <c r="CF184" s="134"/>
      <c r="CG184" s="134"/>
      <c r="CH184" s="134"/>
      <c r="CI184" s="134"/>
      <c r="CJ184" s="134"/>
      <c r="CK184" s="134"/>
    </row>
    <row r="185" ht="9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/>
      <c r="BC185" s="134"/>
      <c r="BD185" s="134"/>
      <c r="BE185" s="134"/>
      <c r="BF185" s="134"/>
      <c r="BG185" s="134"/>
      <c r="BH185" s="134"/>
      <c r="BI185" s="134"/>
      <c r="BJ185" s="134"/>
      <c r="BK185" s="134"/>
      <c r="BL185" s="134"/>
      <c r="BM185" s="134"/>
      <c r="BN185" s="134"/>
      <c r="BO185" s="134"/>
      <c r="BP185" s="134"/>
      <c r="BQ185" s="134"/>
      <c r="BR185" s="134"/>
      <c r="BS185" s="134"/>
      <c r="BT185" s="134"/>
      <c r="BU185" s="134"/>
      <c r="BV185" s="134"/>
      <c r="BW185" s="134"/>
      <c r="BX185" s="134"/>
      <c r="BY185" s="134"/>
      <c r="BZ185" s="134"/>
      <c r="CA185" s="134"/>
      <c r="CB185" s="134"/>
      <c r="CC185" s="134"/>
      <c r="CD185" s="134"/>
      <c r="CE185" s="134"/>
      <c r="CF185" s="134"/>
      <c r="CG185" s="134"/>
      <c r="CH185" s="134"/>
      <c r="CI185" s="134"/>
      <c r="CJ185" s="134"/>
      <c r="CK185" s="134"/>
    </row>
    <row r="186" ht="9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  <c r="AV186" s="134"/>
      <c r="AW186" s="134"/>
      <c r="AX186" s="134"/>
      <c r="AY186" s="134"/>
      <c r="AZ186" s="134"/>
      <c r="BA186" s="134"/>
      <c r="BB186" s="134"/>
      <c r="BC186" s="134"/>
      <c r="BD186" s="134"/>
      <c r="BE186" s="134"/>
      <c r="BF186" s="134"/>
      <c r="BG186" s="134"/>
      <c r="BH186" s="134"/>
      <c r="BI186" s="134"/>
      <c r="BJ186" s="134"/>
      <c r="BK186" s="134"/>
      <c r="BL186" s="134"/>
      <c r="BM186" s="134"/>
      <c r="BN186" s="134"/>
      <c r="BO186" s="134"/>
      <c r="BP186" s="134"/>
      <c r="BQ186" s="134"/>
      <c r="BR186" s="134"/>
      <c r="BS186" s="134"/>
      <c r="BT186" s="134"/>
      <c r="BU186" s="134"/>
      <c r="BV186" s="134"/>
      <c r="BW186" s="134"/>
      <c r="BX186" s="134"/>
      <c r="BY186" s="134"/>
      <c r="BZ186" s="134"/>
      <c r="CA186" s="134"/>
      <c r="CB186" s="134"/>
      <c r="CC186" s="134"/>
      <c r="CD186" s="134"/>
      <c r="CE186" s="134"/>
      <c r="CF186" s="134"/>
      <c r="CG186" s="134"/>
      <c r="CH186" s="134"/>
      <c r="CI186" s="134"/>
      <c r="CJ186" s="134"/>
      <c r="CK186" s="134"/>
    </row>
    <row r="187" ht="9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  <c r="BF187" s="134"/>
      <c r="BG187" s="134"/>
      <c r="BH187" s="134"/>
      <c r="BI187" s="134"/>
      <c r="BJ187" s="134"/>
      <c r="BK187" s="134"/>
      <c r="BL187" s="134"/>
      <c r="BM187" s="134"/>
      <c r="BN187" s="134"/>
      <c r="BO187" s="134"/>
      <c r="BP187" s="134"/>
      <c r="BQ187" s="134"/>
      <c r="BR187" s="134"/>
      <c r="BS187" s="134"/>
      <c r="BT187" s="134"/>
      <c r="BU187" s="134"/>
      <c r="BV187" s="134"/>
      <c r="BW187" s="134"/>
      <c r="BX187" s="134"/>
      <c r="BY187" s="134"/>
      <c r="BZ187" s="134"/>
      <c r="CA187" s="134"/>
      <c r="CB187" s="134"/>
      <c r="CC187" s="134"/>
      <c r="CD187" s="134"/>
      <c r="CE187" s="134"/>
      <c r="CF187" s="134"/>
      <c r="CG187" s="134"/>
      <c r="CH187" s="134"/>
      <c r="CI187" s="134"/>
      <c r="CJ187" s="134"/>
      <c r="CK187" s="134"/>
    </row>
    <row r="188" ht="9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  <c r="AV188" s="134"/>
      <c r="AW188" s="134"/>
      <c r="AX188" s="134"/>
      <c r="AY188" s="134"/>
      <c r="AZ188" s="134"/>
      <c r="BA188" s="134"/>
      <c r="BB188" s="134"/>
      <c r="BC188" s="134"/>
      <c r="BD188" s="134"/>
      <c r="BE188" s="134"/>
      <c r="BF188" s="134"/>
      <c r="BG188" s="134"/>
      <c r="BH188" s="134"/>
      <c r="BI188" s="134"/>
      <c r="BJ188" s="134"/>
      <c r="BK188" s="134"/>
      <c r="BL188" s="134"/>
      <c r="BM188" s="134"/>
      <c r="BN188" s="134"/>
      <c r="BO188" s="134"/>
      <c r="BP188" s="134"/>
      <c r="BQ188" s="134"/>
      <c r="BR188" s="134"/>
      <c r="BS188" s="134"/>
      <c r="BT188" s="134"/>
      <c r="BU188" s="134"/>
      <c r="BV188" s="134"/>
      <c r="BW188" s="134"/>
      <c r="BX188" s="134"/>
      <c r="BY188" s="134"/>
      <c r="BZ188" s="134"/>
      <c r="CA188" s="134"/>
      <c r="CB188" s="134"/>
      <c r="CC188" s="134"/>
      <c r="CD188" s="134"/>
      <c r="CE188" s="134"/>
      <c r="CF188" s="134"/>
      <c r="CG188" s="134"/>
      <c r="CH188" s="134"/>
      <c r="CI188" s="134"/>
      <c r="CJ188" s="134"/>
      <c r="CK188" s="134"/>
    </row>
    <row r="189" ht="9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/>
      <c r="AX189" s="134"/>
      <c r="AY189" s="134"/>
      <c r="AZ189" s="134"/>
      <c r="BA189" s="134"/>
      <c r="BB189" s="134"/>
      <c r="BC189" s="134"/>
      <c r="BD189" s="134"/>
      <c r="BE189" s="134"/>
      <c r="BF189" s="134"/>
      <c r="BG189" s="134"/>
      <c r="BH189" s="134"/>
      <c r="BI189" s="134"/>
      <c r="BJ189" s="134"/>
      <c r="BK189" s="134"/>
      <c r="BL189" s="134"/>
      <c r="BM189" s="134"/>
      <c r="BN189" s="134"/>
      <c r="BO189" s="134"/>
      <c r="BP189" s="134"/>
      <c r="BQ189" s="134"/>
      <c r="BR189" s="134"/>
      <c r="BS189" s="134"/>
      <c r="BT189" s="134"/>
      <c r="BU189" s="134"/>
      <c r="BV189" s="134"/>
      <c r="BW189" s="134"/>
      <c r="BX189" s="134"/>
      <c r="BY189" s="134"/>
      <c r="BZ189" s="134"/>
      <c r="CA189" s="134"/>
      <c r="CB189" s="134"/>
      <c r="CC189" s="134"/>
      <c r="CD189" s="134"/>
      <c r="CE189" s="134"/>
      <c r="CF189" s="134"/>
      <c r="CG189" s="134"/>
      <c r="CH189" s="134"/>
      <c r="CI189" s="134"/>
      <c r="CJ189" s="134"/>
      <c r="CK189" s="134"/>
    </row>
    <row r="190" ht="9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  <c r="AV190" s="134"/>
      <c r="AW190" s="134"/>
      <c r="AX190" s="134"/>
      <c r="AY190" s="134"/>
      <c r="AZ190" s="134"/>
      <c r="BA190" s="134"/>
      <c r="BB190" s="134"/>
      <c r="BC190" s="134"/>
      <c r="BD190" s="134"/>
      <c r="BE190" s="134"/>
      <c r="BF190" s="134"/>
      <c r="BG190" s="134"/>
      <c r="BH190" s="134"/>
      <c r="BI190" s="134"/>
      <c r="BJ190" s="134"/>
      <c r="BK190" s="134"/>
      <c r="BL190" s="134"/>
      <c r="BM190" s="134"/>
      <c r="BN190" s="134"/>
      <c r="BO190" s="134"/>
      <c r="BP190" s="134"/>
      <c r="BQ190" s="134"/>
      <c r="BR190" s="134"/>
      <c r="BS190" s="134"/>
      <c r="BT190" s="134"/>
      <c r="BU190" s="134"/>
      <c r="BV190" s="134"/>
      <c r="BW190" s="134"/>
      <c r="BX190" s="134"/>
      <c r="BY190" s="134"/>
      <c r="BZ190" s="134"/>
      <c r="CA190" s="134"/>
      <c r="CB190" s="134"/>
      <c r="CC190" s="134"/>
      <c r="CD190" s="134"/>
      <c r="CE190" s="134"/>
      <c r="CF190" s="134"/>
      <c r="CG190" s="134"/>
      <c r="CH190" s="134"/>
      <c r="CI190" s="134"/>
      <c r="CJ190" s="134"/>
      <c r="CK190" s="134"/>
    </row>
    <row r="191" ht="9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  <c r="AV191" s="134"/>
      <c r="AW191" s="134"/>
      <c r="AX191" s="134"/>
      <c r="AY191" s="134"/>
      <c r="AZ191" s="134"/>
      <c r="BA191" s="134"/>
      <c r="BB191" s="134"/>
      <c r="BC191" s="134"/>
      <c r="BD191" s="134"/>
      <c r="BE191" s="134"/>
      <c r="BF191" s="134"/>
      <c r="BG191" s="134"/>
      <c r="BH191" s="134"/>
      <c r="BI191" s="134"/>
      <c r="BJ191" s="134"/>
      <c r="BK191" s="134"/>
      <c r="BL191" s="134"/>
      <c r="BM191" s="134"/>
      <c r="BN191" s="134"/>
      <c r="BO191" s="134"/>
      <c r="BP191" s="134"/>
      <c r="BQ191" s="134"/>
      <c r="BR191" s="134"/>
      <c r="BS191" s="134"/>
      <c r="BT191" s="134"/>
      <c r="BU191" s="134"/>
      <c r="BV191" s="134"/>
      <c r="BW191" s="134"/>
      <c r="BX191" s="134"/>
      <c r="BY191" s="134"/>
      <c r="BZ191" s="134"/>
      <c r="CA191" s="134"/>
      <c r="CB191" s="134"/>
      <c r="CC191" s="134"/>
      <c r="CD191" s="134"/>
      <c r="CE191" s="134"/>
      <c r="CF191" s="134"/>
      <c r="CG191" s="134"/>
      <c r="CH191" s="134"/>
      <c r="CI191" s="134"/>
      <c r="CJ191" s="134"/>
      <c r="CK191" s="134"/>
    </row>
    <row r="192" ht="9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</row>
    <row r="193" ht="9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/>
      <c r="AX193" s="134"/>
      <c r="AY193" s="134"/>
      <c r="AZ193" s="134"/>
      <c r="BA193" s="134"/>
      <c r="BB193" s="134"/>
      <c r="BC193" s="134"/>
      <c r="BD193" s="134"/>
      <c r="BE193" s="134"/>
      <c r="BF193" s="134"/>
      <c r="BG193" s="134"/>
      <c r="BH193" s="134"/>
      <c r="BI193" s="134"/>
      <c r="BJ193" s="134"/>
      <c r="BK193" s="134"/>
      <c r="BL193" s="134"/>
      <c r="BM193" s="134"/>
      <c r="BN193" s="134"/>
      <c r="BO193" s="134"/>
      <c r="BP193" s="134"/>
      <c r="BQ193" s="134"/>
      <c r="BR193" s="134"/>
      <c r="BS193" s="134"/>
      <c r="BT193" s="134"/>
      <c r="BU193" s="134"/>
      <c r="BV193" s="134"/>
      <c r="BW193" s="134"/>
      <c r="BX193" s="134"/>
      <c r="BY193" s="134"/>
      <c r="BZ193" s="134"/>
      <c r="CA193" s="134"/>
      <c r="CB193" s="134"/>
      <c r="CC193" s="134"/>
      <c r="CD193" s="134"/>
      <c r="CE193" s="134"/>
      <c r="CF193" s="134"/>
      <c r="CG193" s="134"/>
      <c r="CH193" s="134"/>
      <c r="CI193" s="134"/>
      <c r="CJ193" s="134"/>
      <c r="CK193" s="134"/>
    </row>
    <row r="194" ht="9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</row>
    <row r="195" ht="9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  <c r="BF195" s="134"/>
      <c r="BG195" s="134"/>
      <c r="BH195" s="134"/>
      <c r="BI195" s="134"/>
      <c r="BJ195" s="134"/>
      <c r="BK195" s="134"/>
      <c r="BL195" s="134"/>
      <c r="BM195" s="134"/>
      <c r="BN195" s="134"/>
      <c r="BO195" s="134"/>
      <c r="BP195" s="134"/>
      <c r="BQ195" s="134"/>
      <c r="BR195" s="134"/>
      <c r="BS195" s="134"/>
      <c r="BT195" s="134"/>
      <c r="BU195" s="134"/>
      <c r="BV195" s="134"/>
      <c r="BW195" s="134"/>
      <c r="BX195" s="134"/>
      <c r="BY195" s="134"/>
      <c r="BZ195" s="134"/>
      <c r="CA195" s="134"/>
      <c r="CB195" s="134"/>
      <c r="CC195" s="134"/>
      <c r="CD195" s="134"/>
      <c r="CE195" s="134"/>
      <c r="CF195" s="134"/>
      <c r="CG195" s="134"/>
      <c r="CH195" s="134"/>
      <c r="CI195" s="134"/>
      <c r="CJ195" s="134"/>
      <c r="CK195" s="134"/>
    </row>
    <row r="196" ht="9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/>
      <c r="BI196" s="134"/>
      <c r="BJ196" s="134"/>
      <c r="BK196" s="134"/>
      <c r="BL196" s="134"/>
      <c r="BM196" s="134"/>
      <c r="BN196" s="134"/>
      <c r="BO196" s="134"/>
      <c r="BP196" s="13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4"/>
      <c r="CC196" s="134"/>
      <c r="CD196" s="134"/>
      <c r="CE196" s="134"/>
      <c r="CF196" s="134"/>
      <c r="CG196" s="134"/>
      <c r="CH196" s="134"/>
      <c r="CI196" s="134"/>
      <c r="CJ196" s="134"/>
      <c r="CK196" s="134"/>
    </row>
    <row r="197" ht="9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  <c r="AV197" s="134"/>
      <c r="AW197" s="134"/>
      <c r="AX197" s="134"/>
      <c r="AY197" s="134"/>
      <c r="AZ197" s="134"/>
      <c r="BA197" s="134"/>
      <c r="BB197" s="134"/>
      <c r="BC197" s="134"/>
      <c r="BD197" s="134"/>
      <c r="BE197" s="134"/>
      <c r="BF197" s="134"/>
      <c r="BG197" s="134"/>
      <c r="BH197" s="134"/>
      <c r="BI197" s="134"/>
      <c r="BJ197" s="134"/>
      <c r="BK197" s="134"/>
      <c r="BL197" s="134"/>
      <c r="BM197" s="134"/>
      <c r="BN197" s="134"/>
      <c r="BO197" s="134"/>
      <c r="BP197" s="134"/>
      <c r="BQ197" s="134"/>
      <c r="BR197" s="134"/>
      <c r="BS197" s="134"/>
      <c r="BT197" s="134"/>
      <c r="BU197" s="134"/>
      <c r="BV197" s="134"/>
      <c r="BW197" s="134"/>
      <c r="BX197" s="134"/>
      <c r="BY197" s="134"/>
      <c r="BZ197" s="134"/>
      <c r="CA197" s="134"/>
      <c r="CB197" s="134"/>
      <c r="CC197" s="134"/>
      <c r="CD197" s="134"/>
      <c r="CE197" s="134"/>
      <c r="CF197" s="134"/>
      <c r="CG197" s="134"/>
      <c r="CH197" s="134"/>
      <c r="CI197" s="134"/>
      <c r="CJ197" s="134"/>
      <c r="CK197" s="134"/>
    </row>
    <row r="198" ht="9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  <c r="BF198" s="134"/>
      <c r="BG198" s="134"/>
      <c r="BH198" s="134"/>
      <c r="BI198" s="134"/>
      <c r="BJ198" s="134"/>
      <c r="BK198" s="134"/>
      <c r="BL198" s="134"/>
      <c r="BM198" s="134"/>
      <c r="BN198" s="134"/>
      <c r="BO198" s="134"/>
      <c r="BP198" s="134"/>
      <c r="BQ198" s="134"/>
      <c r="BR198" s="134"/>
      <c r="BS198" s="134"/>
      <c r="BT198" s="134"/>
      <c r="BU198" s="134"/>
      <c r="BV198" s="134"/>
      <c r="BW198" s="134"/>
      <c r="BX198" s="134"/>
      <c r="BY198" s="134"/>
      <c r="BZ198" s="134"/>
      <c r="CA198" s="134"/>
      <c r="CB198" s="134"/>
      <c r="CC198" s="134"/>
      <c r="CD198" s="134"/>
      <c r="CE198" s="134"/>
      <c r="CF198" s="134"/>
      <c r="CG198" s="134"/>
      <c r="CH198" s="134"/>
      <c r="CI198" s="134"/>
      <c r="CJ198" s="134"/>
      <c r="CK198" s="134"/>
    </row>
    <row r="199" ht="9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  <c r="AV199" s="134"/>
      <c r="AW199" s="134"/>
      <c r="AX199" s="134"/>
      <c r="AY199" s="134"/>
      <c r="AZ199" s="134"/>
      <c r="BA199" s="134"/>
      <c r="BB199" s="134"/>
      <c r="BC199" s="134"/>
      <c r="BD199" s="134"/>
      <c r="BE199" s="134"/>
      <c r="BF199" s="134"/>
      <c r="BG199" s="134"/>
      <c r="BH199" s="134"/>
      <c r="BI199" s="134"/>
      <c r="BJ199" s="134"/>
      <c r="BK199" s="134"/>
      <c r="BL199" s="134"/>
      <c r="BM199" s="134"/>
      <c r="BN199" s="134"/>
      <c r="BO199" s="134"/>
      <c r="BP199" s="134"/>
      <c r="BQ199" s="134"/>
      <c r="BR199" s="134"/>
      <c r="BS199" s="134"/>
      <c r="BT199" s="134"/>
      <c r="BU199" s="134"/>
      <c r="BV199" s="134"/>
      <c r="BW199" s="134"/>
      <c r="BX199" s="134"/>
      <c r="BY199" s="134"/>
      <c r="BZ199" s="134"/>
      <c r="CA199" s="134"/>
      <c r="CB199" s="134"/>
      <c r="CC199" s="134"/>
      <c r="CD199" s="134"/>
      <c r="CE199" s="134"/>
      <c r="CF199" s="134"/>
      <c r="CG199" s="134"/>
      <c r="CH199" s="134"/>
      <c r="CI199" s="134"/>
      <c r="CJ199" s="134"/>
      <c r="CK199" s="134"/>
    </row>
    <row r="200" ht="9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  <c r="BF200" s="134"/>
      <c r="BG200" s="134"/>
      <c r="BH200" s="134"/>
      <c r="BI200" s="134"/>
      <c r="BJ200" s="134"/>
      <c r="BK200" s="134"/>
      <c r="BL200" s="134"/>
      <c r="BM200" s="134"/>
      <c r="BN200" s="134"/>
      <c r="BO200" s="134"/>
      <c r="BP200" s="134"/>
      <c r="BQ200" s="134"/>
      <c r="BR200" s="134"/>
      <c r="BS200" s="134"/>
      <c r="BT200" s="134"/>
      <c r="BU200" s="134"/>
      <c r="BV200" s="134"/>
      <c r="BW200" s="134"/>
      <c r="BX200" s="134"/>
      <c r="BY200" s="134"/>
      <c r="BZ200" s="134"/>
      <c r="CA200" s="134"/>
      <c r="CB200" s="134"/>
      <c r="CC200" s="134"/>
      <c r="CD200" s="134"/>
      <c r="CE200" s="134"/>
      <c r="CF200" s="134"/>
      <c r="CG200" s="134"/>
      <c r="CH200" s="134"/>
      <c r="CI200" s="134"/>
      <c r="CJ200" s="134"/>
      <c r="CK200" s="134"/>
    </row>
    <row r="201" ht="9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  <c r="AV201" s="134"/>
      <c r="AW201" s="134"/>
      <c r="AX201" s="134"/>
      <c r="AY201" s="134"/>
      <c r="AZ201" s="134"/>
      <c r="BA201" s="134"/>
      <c r="BB201" s="134"/>
      <c r="BC201" s="134"/>
      <c r="BD201" s="134"/>
      <c r="BE201" s="134"/>
      <c r="BF201" s="134"/>
      <c r="BG201" s="134"/>
      <c r="BH201" s="134"/>
      <c r="BI201" s="134"/>
      <c r="BJ201" s="134"/>
      <c r="BK201" s="134"/>
      <c r="BL201" s="134"/>
      <c r="BM201" s="134"/>
      <c r="BN201" s="134"/>
      <c r="BO201" s="134"/>
      <c r="BP201" s="134"/>
      <c r="BQ201" s="134"/>
      <c r="BR201" s="134"/>
      <c r="BS201" s="134"/>
      <c r="BT201" s="134"/>
      <c r="BU201" s="134"/>
      <c r="BV201" s="134"/>
      <c r="BW201" s="134"/>
      <c r="BX201" s="134"/>
      <c r="BY201" s="134"/>
      <c r="BZ201" s="134"/>
      <c r="CA201" s="134"/>
      <c r="CB201" s="134"/>
      <c r="CC201" s="134"/>
      <c r="CD201" s="134"/>
      <c r="CE201" s="134"/>
      <c r="CF201" s="134"/>
      <c r="CG201" s="134"/>
      <c r="CH201" s="134"/>
      <c r="CI201" s="134"/>
      <c r="CJ201" s="134"/>
      <c r="CK201" s="134"/>
    </row>
    <row r="202" ht="9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V202" s="134"/>
      <c r="AW202" s="134"/>
      <c r="AX202" s="134"/>
      <c r="AY202" s="134"/>
      <c r="AZ202" s="134"/>
      <c r="BA202" s="134"/>
      <c r="BB202" s="134"/>
      <c r="BC202" s="134"/>
      <c r="BD202" s="134"/>
      <c r="BE202" s="134"/>
      <c r="BF202" s="134"/>
      <c r="BG202" s="134"/>
      <c r="BH202" s="134"/>
      <c r="BI202" s="134"/>
      <c r="BJ202" s="134"/>
      <c r="BK202" s="134"/>
      <c r="BL202" s="134"/>
      <c r="BM202" s="134"/>
      <c r="BN202" s="134"/>
      <c r="BO202" s="134"/>
      <c r="BP202" s="134"/>
      <c r="BQ202" s="134"/>
      <c r="BR202" s="134"/>
      <c r="BS202" s="134"/>
      <c r="BT202" s="134"/>
      <c r="BU202" s="134"/>
      <c r="BV202" s="134"/>
      <c r="BW202" s="134"/>
      <c r="BX202" s="134"/>
      <c r="BY202" s="134"/>
      <c r="BZ202" s="134"/>
      <c r="CA202" s="134"/>
      <c r="CB202" s="134"/>
      <c r="CC202" s="134"/>
      <c r="CD202" s="134"/>
      <c r="CE202" s="134"/>
      <c r="CF202" s="134"/>
      <c r="CG202" s="134"/>
      <c r="CH202" s="134"/>
      <c r="CI202" s="134"/>
      <c r="CJ202" s="134"/>
      <c r="CK202" s="134"/>
    </row>
    <row r="203" ht="9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  <c r="AV203" s="134"/>
      <c r="AW203" s="134"/>
      <c r="AX203" s="134"/>
      <c r="AY203" s="134"/>
      <c r="AZ203" s="134"/>
      <c r="BA203" s="134"/>
      <c r="BB203" s="134"/>
      <c r="BC203" s="134"/>
      <c r="BD203" s="134"/>
      <c r="BE203" s="134"/>
      <c r="BF203" s="134"/>
      <c r="BG203" s="134"/>
      <c r="BH203" s="134"/>
      <c r="BI203" s="134"/>
      <c r="BJ203" s="134"/>
      <c r="BK203" s="134"/>
      <c r="BL203" s="134"/>
      <c r="BM203" s="134"/>
      <c r="BN203" s="134"/>
      <c r="BO203" s="134"/>
      <c r="BP203" s="134"/>
      <c r="BQ203" s="134"/>
      <c r="BR203" s="134"/>
      <c r="BS203" s="134"/>
      <c r="BT203" s="134"/>
      <c r="BU203" s="134"/>
      <c r="BV203" s="134"/>
      <c r="BW203" s="134"/>
      <c r="BX203" s="134"/>
      <c r="BY203" s="134"/>
      <c r="BZ203" s="134"/>
      <c r="CA203" s="134"/>
      <c r="CB203" s="134"/>
      <c r="CC203" s="134"/>
      <c r="CD203" s="134"/>
      <c r="CE203" s="134"/>
      <c r="CF203" s="134"/>
      <c r="CG203" s="134"/>
      <c r="CH203" s="134"/>
      <c r="CI203" s="134"/>
      <c r="CJ203" s="134"/>
      <c r="CK203" s="134"/>
    </row>
    <row r="204" ht="9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  <c r="BF204" s="134"/>
      <c r="BG204" s="134"/>
      <c r="BH204" s="134"/>
      <c r="BI204" s="134"/>
      <c r="BJ204" s="134"/>
      <c r="BK204" s="134"/>
      <c r="BL204" s="134"/>
      <c r="BM204" s="134"/>
      <c r="BN204" s="134"/>
      <c r="BO204" s="134"/>
      <c r="BP204" s="134"/>
      <c r="BQ204" s="134"/>
      <c r="BR204" s="134"/>
      <c r="BS204" s="134"/>
      <c r="BT204" s="134"/>
      <c r="BU204" s="134"/>
      <c r="BV204" s="134"/>
      <c r="BW204" s="134"/>
      <c r="BX204" s="134"/>
      <c r="BY204" s="134"/>
      <c r="BZ204" s="134"/>
      <c r="CA204" s="134"/>
      <c r="CB204" s="134"/>
      <c r="CC204" s="134"/>
      <c r="CD204" s="134"/>
      <c r="CE204" s="134"/>
      <c r="CF204" s="134"/>
      <c r="CG204" s="134"/>
      <c r="CH204" s="134"/>
      <c r="CI204" s="134"/>
      <c r="CJ204" s="134"/>
      <c r="CK204" s="134"/>
    </row>
    <row r="205" ht="9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  <c r="AQ205" s="134"/>
      <c r="AR205" s="134"/>
      <c r="AS205" s="134"/>
      <c r="AT205" s="134"/>
      <c r="AU205" s="134"/>
      <c r="AV205" s="134"/>
      <c r="AW205" s="134"/>
      <c r="AX205" s="134"/>
      <c r="AY205" s="134"/>
      <c r="AZ205" s="134"/>
      <c r="BA205" s="134"/>
      <c r="BB205" s="134"/>
      <c r="BC205" s="134"/>
      <c r="BD205" s="134"/>
      <c r="BE205" s="134"/>
      <c r="BF205" s="134"/>
      <c r="BG205" s="134"/>
      <c r="BH205" s="134"/>
      <c r="BI205" s="134"/>
      <c r="BJ205" s="134"/>
      <c r="BK205" s="134"/>
      <c r="BL205" s="134"/>
      <c r="BM205" s="134"/>
      <c r="BN205" s="134"/>
      <c r="BO205" s="134"/>
      <c r="BP205" s="134"/>
      <c r="BQ205" s="134"/>
      <c r="BR205" s="134"/>
      <c r="BS205" s="134"/>
      <c r="BT205" s="134"/>
      <c r="BU205" s="134"/>
      <c r="BV205" s="134"/>
      <c r="BW205" s="134"/>
      <c r="BX205" s="134"/>
      <c r="BY205" s="134"/>
      <c r="BZ205" s="134"/>
      <c r="CA205" s="134"/>
      <c r="CB205" s="134"/>
      <c r="CC205" s="134"/>
      <c r="CD205" s="134"/>
      <c r="CE205" s="134"/>
      <c r="CF205" s="134"/>
      <c r="CG205" s="134"/>
      <c r="CH205" s="134"/>
      <c r="CI205" s="134"/>
      <c r="CJ205" s="134"/>
      <c r="CK205" s="134"/>
    </row>
    <row r="206" ht="9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</row>
    <row r="207" ht="9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  <c r="AV207" s="134"/>
      <c r="AW207" s="134"/>
      <c r="AX207" s="134"/>
      <c r="AY207" s="134"/>
      <c r="AZ207" s="134"/>
      <c r="BA207" s="134"/>
      <c r="BB207" s="134"/>
      <c r="BC207" s="134"/>
      <c r="BD207" s="134"/>
      <c r="BE207" s="134"/>
      <c r="BF207" s="134"/>
      <c r="BG207" s="134"/>
      <c r="BH207" s="134"/>
      <c r="BI207" s="134"/>
      <c r="BJ207" s="134"/>
      <c r="BK207" s="134"/>
      <c r="BL207" s="134"/>
      <c r="BM207" s="134"/>
      <c r="BN207" s="134"/>
      <c r="BO207" s="134"/>
      <c r="BP207" s="134"/>
      <c r="BQ207" s="134"/>
      <c r="BR207" s="134"/>
      <c r="BS207" s="134"/>
      <c r="BT207" s="134"/>
      <c r="BU207" s="134"/>
      <c r="BV207" s="134"/>
      <c r="BW207" s="134"/>
      <c r="BX207" s="134"/>
      <c r="BY207" s="134"/>
      <c r="BZ207" s="134"/>
      <c r="CA207" s="134"/>
      <c r="CB207" s="134"/>
      <c r="CC207" s="134"/>
      <c r="CD207" s="134"/>
      <c r="CE207" s="134"/>
      <c r="CF207" s="134"/>
      <c r="CG207" s="134"/>
      <c r="CH207" s="134"/>
      <c r="CI207" s="134"/>
      <c r="CJ207" s="134"/>
      <c r="CK207" s="134"/>
    </row>
    <row r="208" ht="9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4"/>
      <c r="BB208" s="134"/>
      <c r="BC208" s="134"/>
      <c r="BD208" s="134"/>
      <c r="BE208" s="134"/>
      <c r="BF208" s="134"/>
      <c r="BG208" s="134"/>
      <c r="BH208" s="134"/>
      <c r="BI208" s="134"/>
      <c r="BJ208" s="134"/>
      <c r="BK208" s="134"/>
      <c r="BL208" s="134"/>
      <c r="BM208" s="134"/>
      <c r="BN208" s="134"/>
      <c r="BO208" s="134"/>
      <c r="BP208" s="134"/>
      <c r="BQ208" s="134"/>
      <c r="BR208" s="134"/>
      <c r="BS208" s="134"/>
      <c r="BT208" s="134"/>
      <c r="BU208" s="134"/>
      <c r="BV208" s="134"/>
      <c r="BW208" s="134"/>
      <c r="BX208" s="134"/>
      <c r="BY208" s="134"/>
      <c r="BZ208" s="134"/>
      <c r="CA208" s="134"/>
      <c r="CB208" s="134"/>
      <c r="CC208" s="134"/>
      <c r="CD208" s="134"/>
      <c r="CE208" s="134"/>
      <c r="CF208" s="134"/>
      <c r="CG208" s="134"/>
      <c r="CH208" s="134"/>
      <c r="CI208" s="134"/>
      <c r="CJ208" s="134"/>
      <c r="CK208" s="134"/>
    </row>
    <row r="209" ht="9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  <c r="AO209" s="134"/>
      <c r="AP209" s="134"/>
      <c r="AQ209" s="134"/>
      <c r="AR209" s="134"/>
      <c r="AS209" s="134"/>
      <c r="AT209" s="134"/>
      <c r="AU209" s="134"/>
      <c r="AV209" s="134"/>
      <c r="AW209" s="134"/>
      <c r="AX209" s="134"/>
      <c r="AY209" s="134"/>
      <c r="AZ209" s="134"/>
      <c r="BA209" s="134"/>
      <c r="BB209" s="134"/>
      <c r="BC209" s="134"/>
      <c r="BD209" s="134"/>
      <c r="BE209" s="134"/>
      <c r="BF209" s="134"/>
      <c r="BG209" s="134"/>
      <c r="BH209" s="134"/>
      <c r="BI209" s="134"/>
      <c r="BJ209" s="134"/>
      <c r="BK209" s="134"/>
      <c r="BL209" s="134"/>
      <c r="BM209" s="134"/>
      <c r="BN209" s="134"/>
      <c r="BO209" s="134"/>
      <c r="BP209" s="134"/>
      <c r="BQ209" s="134"/>
      <c r="BR209" s="134"/>
      <c r="BS209" s="134"/>
      <c r="BT209" s="134"/>
      <c r="BU209" s="134"/>
      <c r="BV209" s="134"/>
      <c r="BW209" s="134"/>
      <c r="BX209" s="134"/>
      <c r="BY209" s="134"/>
      <c r="BZ209" s="134"/>
      <c r="CA209" s="134"/>
      <c r="CB209" s="134"/>
      <c r="CC209" s="134"/>
      <c r="CD209" s="134"/>
      <c r="CE209" s="134"/>
      <c r="CF209" s="134"/>
      <c r="CG209" s="134"/>
      <c r="CH209" s="134"/>
      <c r="CI209" s="134"/>
      <c r="CJ209" s="134"/>
      <c r="CK209" s="134"/>
    </row>
    <row r="210" ht="9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  <c r="AV210" s="134"/>
      <c r="AW210" s="134"/>
      <c r="AX210" s="134"/>
      <c r="AY210" s="134"/>
      <c r="AZ210" s="134"/>
      <c r="BA210" s="134"/>
      <c r="BB210" s="134"/>
      <c r="BC210" s="134"/>
      <c r="BD210" s="134"/>
      <c r="BE210" s="134"/>
      <c r="BF210" s="134"/>
      <c r="BG210" s="134"/>
      <c r="BH210" s="134"/>
      <c r="BI210" s="134"/>
      <c r="BJ210" s="134"/>
      <c r="BK210" s="134"/>
      <c r="BL210" s="134"/>
      <c r="BM210" s="134"/>
      <c r="BN210" s="134"/>
      <c r="BO210" s="134"/>
      <c r="BP210" s="134"/>
      <c r="BQ210" s="134"/>
      <c r="BR210" s="134"/>
      <c r="BS210" s="134"/>
      <c r="BT210" s="134"/>
      <c r="BU210" s="134"/>
      <c r="BV210" s="134"/>
      <c r="BW210" s="134"/>
      <c r="BX210" s="134"/>
      <c r="BY210" s="134"/>
      <c r="BZ210" s="134"/>
      <c r="CA210" s="134"/>
      <c r="CB210" s="134"/>
      <c r="CC210" s="134"/>
      <c r="CD210" s="134"/>
      <c r="CE210" s="134"/>
      <c r="CF210" s="134"/>
      <c r="CG210" s="134"/>
      <c r="CH210" s="134"/>
      <c r="CI210" s="134"/>
      <c r="CJ210" s="134"/>
      <c r="CK210" s="134"/>
    </row>
    <row r="211" ht="9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/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/>
    </row>
    <row r="212" ht="9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</row>
    <row r="213" ht="9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  <c r="AV213" s="134"/>
      <c r="AW213" s="134"/>
      <c r="AX213" s="134"/>
      <c r="AY213" s="134"/>
      <c r="AZ213" s="134"/>
      <c r="BA213" s="134"/>
      <c r="BB213" s="134"/>
      <c r="BC213" s="134"/>
      <c r="BD213" s="134"/>
      <c r="BE213" s="134"/>
      <c r="BF213" s="134"/>
      <c r="BG213" s="134"/>
      <c r="BH213" s="134"/>
      <c r="BI213" s="134"/>
      <c r="BJ213" s="134"/>
      <c r="BK213" s="134"/>
      <c r="BL213" s="134"/>
      <c r="BM213" s="134"/>
      <c r="BN213" s="134"/>
      <c r="BO213" s="134"/>
      <c r="BP213" s="134"/>
      <c r="BQ213" s="134"/>
      <c r="BR213" s="134"/>
      <c r="BS213" s="134"/>
      <c r="BT213" s="134"/>
      <c r="BU213" s="134"/>
      <c r="BV213" s="134"/>
      <c r="BW213" s="134"/>
      <c r="BX213" s="134"/>
      <c r="BY213" s="134"/>
      <c r="BZ213" s="134"/>
      <c r="CA213" s="134"/>
      <c r="CB213" s="134"/>
      <c r="CC213" s="134"/>
      <c r="CD213" s="134"/>
      <c r="CE213" s="134"/>
      <c r="CF213" s="134"/>
      <c r="CG213" s="134"/>
      <c r="CH213" s="134"/>
      <c r="CI213" s="134"/>
      <c r="CJ213" s="134"/>
      <c r="CK213" s="134"/>
    </row>
    <row r="214" ht="9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  <c r="AV214" s="134"/>
      <c r="AW214" s="134"/>
      <c r="AX214" s="134"/>
      <c r="AY214" s="134"/>
      <c r="AZ214" s="134"/>
      <c r="BA214" s="134"/>
      <c r="BB214" s="134"/>
      <c r="BC214" s="134"/>
      <c r="BD214" s="134"/>
      <c r="BE214" s="134"/>
      <c r="BF214" s="134"/>
      <c r="BG214" s="134"/>
      <c r="BH214" s="134"/>
      <c r="BI214" s="134"/>
      <c r="BJ214" s="134"/>
      <c r="BK214" s="134"/>
      <c r="BL214" s="134"/>
      <c r="BM214" s="134"/>
      <c r="BN214" s="134"/>
      <c r="BO214" s="134"/>
      <c r="BP214" s="134"/>
      <c r="BQ214" s="134"/>
      <c r="BR214" s="134"/>
      <c r="BS214" s="134"/>
      <c r="BT214" s="134"/>
      <c r="BU214" s="134"/>
      <c r="BV214" s="134"/>
      <c r="BW214" s="134"/>
      <c r="BX214" s="134"/>
      <c r="BY214" s="134"/>
      <c r="BZ214" s="134"/>
      <c r="CA214" s="134"/>
      <c r="CB214" s="134"/>
      <c r="CC214" s="134"/>
      <c r="CD214" s="134"/>
      <c r="CE214" s="134"/>
      <c r="CF214" s="134"/>
      <c r="CG214" s="134"/>
      <c r="CH214" s="134"/>
      <c r="CI214" s="134"/>
      <c r="CJ214" s="134"/>
      <c r="CK214" s="134"/>
    </row>
    <row r="215" ht="9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  <c r="AV215" s="134"/>
      <c r="AW215" s="134"/>
      <c r="AX215" s="134"/>
      <c r="AY215" s="134"/>
      <c r="AZ215" s="134"/>
      <c r="BA215" s="134"/>
      <c r="BB215" s="134"/>
      <c r="BC215" s="134"/>
      <c r="BD215" s="134"/>
      <c r="BE215" s="134"/>
      <c r="BF215" s="134"/>
      <c r="BG215" s="134"/>
      <c r="BH215" s="134"/>
      <c r="BI215" s="134"/>
      <c r="BJ215" s="134"/>
      <c r="BK215" s="134"/>
      <c r="BL215" s="134"/>
      <c r="BM215" s="134"/>
      <c r="BN215" s="134"/>
      <c r="BO215" s="134"/>
      <c r="BP215" s="134"/>
      <c r="BQ215" s="134"/>
      <c r="BR215" s="134"/>
      <c r="BS215" s="134"/>
      <c r="BT215" s="134"/>
      <c r="BU215" s="134"/>
      <c r="BV215" s="134"/>
      <c r="BW215" s="134"/>
      <c r="BX215" s="134"/>
      <c r="BY215" s="134"/>
      <c r="BZ215" s="134"/>
      <c r="CA215" s="134"/>
      <c r="CB215" s="134"/>
      <c r="CC215" s="134"/>
      <c r="CD215" s="134"/>
      <c r="CE215" s="134"/>
      <c r="CF215" s="134"/>
      <c r="CG215" s="134"/>
      <c r="CH215" s="134"/>
      <c r="CI215" s="134"/>
      <c r="CJ215" s="134"/>
      <c r="CK215" s="134"/>
    </row>
    <row r="216" ht="9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  <c r="AV216" s="134"/>
      <c r="AW216" s="134"/>
      <c r="AX216" s="134"/>
      <c r="AY216" s="134"/>
      <c r="AZ216" s="134"/>
      <c r="BA216" s="134"/>
      <c r="BB216" s="134"/>
      <c r="BC216" s="134"/>
      <c r="BD216" s="134"/>
      <c r="BE216" s="134"/>
      <c r="BF216" s="134"/>
      <c r="BG216" s="134"/>
      <c r="BH216" s="134"/>
      <c r="BI216" s="134"/>
      <c r="BJ216" s="134"/>
      <c r="BK216" s="134"/>
      <c r="BL216" s="134"/>
      <c r="BM216" s="134"/>
      <c r="BN216" s="134"/>
      <c r="BO216" s="134"/>
      <c r="BP216" s="134"/>
      <c r="BQ216" s="134"/>
      <c r="BR216" s="134"/>
      <c r="BS216" s="134"/>
      <c r="BT216" s="134"/>
      <c r="BU216" s="134"/>
      <c r="BV216" s="134"/>
      <c r="BW216" s="134"/>
      <c r="BX216" s="134"/>
      <c r="BY216" s="134"/>
      <c r="BZ216" s="134"/>
      <c r="CA216" s="134"/>
      <c r="CB216" s="134"/>
      <c r="CC216" s="134"/>
      <c r="CD216" s="134"/>
      <c r="CE216" s="134"/>
      <c r="CF216" s="134"/>
      <c r="CG216" s="134"/>
      <c r="CH216" s="134"/>
      <c r="CI216" s="134"/>
      <c r="CJ216" s="134"/>
      <c r="CK216" s="134"/>
    </row>
    <row r="217" ht="9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  <c r="AV217" s="134"/>
      <c r="AW217" s="134"/>
      <c r="AX217" s="134"/>
      <c r="AY217" s="134"/>
      <c r="AZ217" s="134"/>
      <c r="BA217" s="134"/>
      <c r="BB217" s="134"/>
      <c r="BC217" s="134"/>
      <c r="BD217" s="134"/>
      <c r="BE217" s="134"/>
      <c r="BF217" s="134"/>
      <c r="BG217" s="134"/>
      <c r="BH217" s="134"/>
      <c r="BI217" s="134"/>
      <c r="BJ217" s="134"/>
      <c r="BK217" s="134"/>
      <c r="BL217" s="134"/>
      <c r="BM217" s="134"/>
      <c r="BN217" s="134"/>
      <c r="BO217" s="134"/>
      <c r="BP217" s="134"/>
      <c r="BQ217" s="134"/>
      <c r="BR217" s="134"/>
      <c r="BS217" s="134"/>
      <c r="BT217" s="134"/>
      <c r="BU217" s="134"/>
      <c r="BV217" s="134"/>
      <c r="BW217" s="134"/>
      <c r="BX217" s="134"/>
      <c r="BY217" s="134"/>
      <c r="BZ217" s="134"/>
      <c r="CA217" s="134"/>
      <c r="CB217" s="134"/>
      <c r="CC217" s="134"/>
      <c r="CD217" s="134"/>
      <c r="CE217" s="134"/>
      <c r="CF217" s="134"/>
      <c r="CG217" s="134"/>
      <c r="CH217" s="134"/>
      <c r="CI217" s="134"/>
      <c r="CJ217" s="134"/>
      <c r="CK217" s="134"/>
    </row>
    <row r="218" ht="9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  <c r="BF218" s="134"/>
      <c r="BG218" s="134"/>
      <c r="BH218" s="134"/>
      <c r="BI218" s="134"/>
      <c r="BJ218" s="134"/>
      <c r="BK218" s="134"/>
      <c r="BL218" s="134"/>
      <c r="BM218" s="134"/>
      <c r="BN218" s="134"/>
      <c r="BO218" s="134"/>
      <c r="BP218" s="134"/>
      <c r="BQ218" s="134"/>
      <c r="BR218" s="134"/>
      <c r="BS218" s="134"/>
      <c r="BT218" s="134"/>
      <c r="BU218" s="134"/>
      <c r="BV218" s="134"/>
      <c r="BW218" s="134"/>
      <c r="BX218" s="134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/>
      <c r="CI218" s="134"/>
      <c r="CJ218" s="134"/>
      <c r="CK218" s="134"/>
    </row>
    <row r="219" ht="9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  <c r="AV219" s="134"/>
      <c r="AW219" s="134"/>
      <c r="AX219" s="134"/>
      <c r="AY219" s="134"/>
      <c r="AZ219" s="134"/>
      <c r="BA219" s="134"/>
      <c r="BB219" s="134"/>
      <c r="BC219" s="134"/>
      <c r="BD219" s="134"/>
      <c r="BE219" s="134"/>
      <c r="BF219" s="134"/>
      <c r="BG219" s="134"/>
      <c r="BH219" s="134"/>
      <c r="BI219" s="134"/>
      <c r="BJ219" s="134"/>
      <c r="BK219" s="134"/>
      <c r="BL219" s="134"/>
      <c r="BM219" s="134"/>
      <c r="BN219" s="134"/>
      <c r="BO219" s="134"/>
      <c r="BP219" s="134"/>
      <c r="BQ219" s="134"/>
      <c r="BR219" s="134"/>
      <c r="BS219" s="134"/>
      <c r="BT219" s="134"/>
      <c r="BU219" s="134"/>
      <c r="BV219" s="134"/>
      <c r="BW219" s="134"/>
      <c r="BX219" s="134"/>
      <c r="BY219" s="134"/>
      <c r="BZ219" s="134"/>
      <c r="CA219" s="134"/>
      <c r="CB219" s="134"/>
      <c r="CC219" s="134"/>
      <c r="CD219" s="134"/>
      <c r="CE219" s="134"/>
      <c r="CF219" s="134"/>
      <c r="CG219" s="134"/>
      <c r="CH219" s="134"/>
      <c r="CI219" s="134"/>
      <c r="CJ219" s="134"/>
      <c r="CK219" s="134"/>
    </row>
    <row r="220" ht="9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  <c r="AO220" s="134"/>
      <c r="AP220" s="134"/>
      <c r="AQ220" s="134"/>
      <c r="AR220" s="134"/>
      <c r="AS220" s="134"/>
      <c r="AT220" s="134"/>
      <c r="AU220" s="134"/>
      <c r="AV220" s="134"/>
      <c r="AW220" s="134"/>
      <c r="AX220" s="134"/>
      <c r="AY220" s="134"/>
      <c r="AZ220" s="134"/>
      <c r="BA220" s="134"/>
      <c r="BB220" s="134"/>
      <c r="BC220" s="134"/>
      <c r="BD220" s="134"/>
      <c r="BE220" s="134"/>
      <c r="BF220" s="134"/>
      <c r="BG220" s="134"/>
      <c r="BH220" s="134"/>
      <c r="BI220" s="134"/>
      <c r="BJ220" s="134"/>
      <c r="BK220" s="134"/>
      <c r="BL220" s="134"/>
      <c r="BM220" s="134"/>
      <c r="BN220" s="134"/>
      <c r="BO220" s="134"/>
      <c r="BP220" s="134"/>
      <c r="BQ220" s="134"/>
      <c r="BR220" s="134"/>
      <c r="BS220" s="134"/>
      <c r="BT220" s="134"/>
      <c r="BU220" s="134"/>
      <c r="BV220" s="134"/>
      <c r="BW220" s="134"/>
      <c r="BX220" s="134"/>
      <c r="BY220" s="134"/>
      <c r="BZ220" s="134"/>
      <c r="CA220" s="134"/>
      <c r="CB220" s="134"/>
      <c r="CC220" s="134"/>
      <c r="CD220" s="134"/>
      <c r="CE220" s="134"/>
      <c r="CF220" s="134"/>
      <c r="CG220" s="134"/>
      <c r="CH220" s="134"/>
      <c r="CI220" s="134"/>
      <c r="CJ220" s="134"/>
      <c r="CK220" s="134"/>
    </row>
    <row r="221" ht="9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4"/>
      <c r="AV221" s="134"/>
      <c r="AW221" s="134"/>
      <c r="AX221" s="134"/>
      <c r="AY221" s="134"/>
      <c r="AZ221" s="134"/>
      <c r="BA221" s="134"/>
      <c r="BB221" s="134"/>
      <c r="BC221" s="134"/>
      <c r="BD221" s="134"/>
      <c r="BE221" s="134"/>
      <c r="BF221" s="134"/>
      <c r="BG221" s="134"/>
      <c r="BH221" s="134"/>
      <c r="BI221" s="134"/>
      <c r="BJ221" s="134"/>
      <c r="BK221" s="134"/>
      <c r="BL221" s="134"/>
      <c r="BM221" s="134"/>
      <c r="BN221" s="134"/>
      <c r="BO221" s="134"/>
      <c r="BP221" s="134"/>
      <c r="BQ221" s="134"/>
      <c r="BR221" s="134"/>
      <c r="BS221" s="134"/>
      <c r="BT221" s="134"/>
      <c r="BU221" s="134"/>
      <c r="BV221" s="134"/>
      <c r="BW221" s="134"/>
      <c r="BX221" s="134"/>
      <c r="BY221" s="134"/>
      <c r="BZ221" s="134"/>
      <c r="CA221" s="134"/>
      <c r="CB221" s="134"/>
      <c r="CC221" s="134"/>
      <c r="CD221" s="134"/>
      <c r="CE221" s="134"/>
      <c r="CF221" s="134"/>
      <c r="CG221" s="134"/>
      <c r="CH221" s="134"/>
      <c r="CI221" s="134"/>
      <c r="CJ221" s="134"/>
      <c r="CK221" s="134"/>
    </row>
    <row r="222" ht="9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34"/>
      <c r="AQ222" s="134"/>
      <c r="AR222" s="134"/>
      <c r="AS222" s="134"/>
      <c r="AT222" s="134"/>
      <c r="AU222" s="134"/>
      <c r="AV222" s="134"/>
      <c r="AW222" s="134"/>
      <c r="AX222" s="134"/>
      <c r="AY222" s="134"/>
      <c r="AZ222" s="134"/>
      <c r="BA222" s="134"/>
      <c r="BB222" s="134"/>
      <c r="BC222" s="134"/>
      <c r="BD222" s="134"/>
      <c r="BE222" s="134"/>
      <c r="BF222" s="134"/>
      <c r="BG222" s="134"/>
      <c r="BH222" s="134"/>
      <c r="BI222" s="134"/>
      <c r="BJ222" s="134"/>
      <c r="BK222" s="134"/>
      <c r="BL222" s="134"/>
      <c r="BM222" s="134"/>
      <c r="BN222" s="134"/>
      <c r="BO222" s="134"/>
      <c r="BP222" s="134"/>
      <c r="BQ222" s="134"/>
      <c r="BR222" s="134"/>
      <c r="BS222" s="134"/>
      <c r="BT222" s="134"/>
      <c r="BU222" s="134"/>
      <c r="BV222" s="134"/>
      <c r="BW222" s="134"/>
      <c r="BX222" s="134"/>
      <c r="BY222" s="134"/>
      <c r="BZ222" s="134"/>
      <c r="CA222" s="134"/>
      <c r="CB222" s="134"/>
      <c r="CC222" s="134"/>
      <c r="CD222" s="134"/>
      <c r="CE222" s="134"/>
      <c r="CF222" s="134"/>
      <c r="CG222" s="134"/>
      <c r="CH222" s="134"/>
      <c r="CI222" s="134"/>
      <c r="CJ222" s="134"/>
      <c r="CK222" s="134"/>
    </row>
    <row r="223" ht="9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4"/>
      <c r="AU223" s="134"/>
      <c r="AV223" s="134"/>
      <c r="AW223" s="134"/>
      <c r="AX223" s="134"/>
      <c r="AY223" s="134"/>
      <c r="AZ223" s="134"/>
      <c r="BA223" s="134"/>
      <c r="BB223" s="134"/>
      <c r="BC223" s="134"/>
      <c r="BD223" s="134"/>
      <c r="BE223" s="134"/>
      <c r="BF223" s="134"/>
      <c r="BG223" s="134"/>
      <c r="BH223" s="134"/>
      <c r="BI223" s="134"/>
      <c r="BJ223" s="134"/>
      <c r="BK223" s="134"/>
      <c r="BL223" s="134"/>
      <c r="BM223" s="134"/>
      <c r="BN223" s="134"/>
      <c r="BO223" s="134"/>
      <c r="BP223" s="134"/>
      <c r="BQ223" s="134"/>
      <c r="BR223" s="134"/>
      <c r="BS223" s="134"/>
      <c r="BT223" s="134"/>
      <c r="BU223" s="134"/>
      <c r="BV223" s="134"/>
      <c r="BW223" s="134"/>
      <c r="BX223" s="134"/>
      <c r="BY223" s="134"/>
      <c r="BZ223" s="134"/>
      <c r="CA223" s="134"/>
      <c r="CB223" s="134"/>
      <c r="CC223" s="134"/>
      <c r="CD223" s="134"/>
      <c r="CE223" s="134"/>
      <c r="CF223" s="134"/>
      <c r="CG223" s="134"/>
      <c r="CH223" s="134"/>
      <c r="CI223" s="134"/>
      <c r="CJ223" s="134"/>
      <c r="CK223" s="134"/>
    </row>
    <row r="224" ht="9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34"/>
      <c r="AQ224" s="134"/>
      <c r="AR224" s="134"/>
      <c r="AS224" s="134"/>
      <c r="AT224" s="134"/>
      <c r="AU224" s="134"/>
      <c r="AV224" s="134"/>
      <c r="AW224" s="134"/>
      <c r="AX224" s="134"/>
      <c r="AY224" s="134"/>
      <c r="AZ224" s="134"/>
      <c r="BA224" s="134"/>
      <c r="BB224" s="134"/>
      <c r="BC224" s="134"/>
      <c r="BD224" s="134"/>
      <c r="BE224" s="134"/>
      <c r="BF224" s="134"/>
      <c r="BG224" s="134"/>
      <c r="BH224" s="134"/>
      <c r="BI224" s="134"/>
      <c r="BJ224" s="134"/>
      <c r="BK224" s="134"/>
      <c r="BL224" s="134"/>
      <c r="BM224" s="134"/>
      <c r="BN224" s="134"/>
      <c r="BO224" s="134"/>
      <c r="BP224" s="134"/>
      <c r="BQ224" s="134"/>
      <c r="BR224" s="134"/>
      <c r="BS224" s="134"/>
      <c r="BT224" s="134"/>
      <c r="BU224" s="134"/>
      <c r="BV224" s="134"/>
      <c r="BW224" s="134"/>
      <c r="BX224" s="134"/>
      <c r="BY224" s="134"/>
      <c r="BZ224" s="134"/>
      <c r="CA224" s="134"/>
      <c r="CB224" s="134"/>
      <c r="CC224" s="134"/>
      <c r="CD224" s="134"/>
      <c r="CE224" s="134"/>
      <c r="CF224" s="134"/>
      <c r="CG224" s="134"/>
      <c r="CH224" s="134"/>
      <c r="CI224" s="134"/>
      <c r="CJ224" s="134"/>
      <c r="CK224" s="134"/>
    </row>
    <row r="225" ht="9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  <c r="AO225" s="134"/>
      <c r="AP225" s="134"/>
      <c r="AQ225" s="134"/>
      <c r="AR225" s="134"/>
      <c r="AS225" s="134"/>
      <c r="AT225" s="134"/>
      <c r="AU225" s="134"/>
      <c r="AV225" s="134"/>
      <c r="AW225" s="134"/>
      <c r="AX225" s="134"/>
      <c r="AY225" s="134"/>
      <c r="AZ225" s="134"/>
      <c r="BA225" s="134"/>
      <c r="BB225" s="134"/>
      <c r="BC225" s="134"/>
      <c r="BD225" s="134"/>
      <c r="BE225" s="134"/>
      <c r="BF225" s="134"/>
      <c r="BG225" s="134"/>
      <c r="BH225" s="134"/>
      <c r="BI225" s="134"/>
      <c r="BJ225" s="134"/>
      <c r="BK225" s="134"/>
      <c r="BL225" s="134"/>
      <c r="BM225" s="134"/>
      <c r="BN225" s="134"/>
      <c r="BO225" s="134"/>
      <c r="BP225" s="134"/>
      <c r="BQ225" s="134"/>
      <c r="BR225" s="134"/>
      <c r="BS225" s="134"/>
      <c r="BT225" s="134"/>
      <c r="BU225" s="134"/>
      <c r="BV225" s="134"/>
      <c r="BW225" s="134"/>
      <c r="BX225" s="134"/>
      <c r="BY225" s="134"/>
      <c r="BZ225" s="134"/>
      <c r="CA225" s="134"/>
      <c r="CB225" s="134"/>
      <c r="CC225" s="134"/>
      <c r="CD225" s="134"/>
      <c r="CE225" s="134"/>
      <c r="CF225" s="134"/>
      <c r="CG225" s="134"/>
      <c r="CH225" s="134"/>
      <c r="CI225" s="134"/>
      <c r="CJ225" s="134"/>
      <c r="CK225" s="134"/>
    </row>
    <row r="226" ht="9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  <c r="AO226" s="134"/>
      <c r="AP226" s="134"/>
      <c r="AQ226" s="134"/>
      <c r="AR226" s="134"/>
      <c r="AS226" s="134"/>
      <c r="AT226" s="134"/>
      <c r="AU226" s="134"/>
      <c r="AV226" s="134"/>
      <c r="AW226" s="134"/>
      <c r="AX226" s="134"/>
      <c r="AY226" s="134"/>
      <c r="AZ226" s="134"/>
      <c r="BA226" s="134"/>
      <c r="BB226" s="134"/>
      <c r="BC226" s="134"/>
      <c r="BD226" s="134"/>
      <c r="BE226" s="134"/>
      <c r="BF226" s="134"/>
      <c r="BG226" s="134"/>
      <c r="BH226" s="134"/>
      <c r="BI226" s="134"/>
      <c r="BJ226" s="134"/>
      <c r="BK226" s="134"/>
      <c r="BL226" s="134"/>
      <c r="BM226" s="134"/>
      <c r="BN226" s="134"/>
      <c r="BO226" s="134"/>
      <c r="BP226" s="134"/>
      <c r="BQ226" s="134"/>
      <c r="BR226" s="134"/>
      <c r="BS226" s="134"/>
      <c r="BT226" s="134"/>
      <c r="BU226" s="134"/>
      <c r="BV226" s="134"/>
      <c r="BW226" s="134"/>
      <c r="BX226" s="134"/>
      <c r="BY226" s="134"/>
      <c r="BZ226" s="134"/>
      <c r="CA226" s="134"/>
      <c r="CB226" s="134"/>
      <c r="CC226" s="134"/>
      <c r="CD226" s="134"/>
      <c r="CE226" s="134"/>
      <c r="CF226" s="134"/>
      <c r="CG226" s="134"/>
      <c r="CH226" s="134"/>
      <c r="CI226" s="134"/>
      <c r="CJ226" s="134"/>
      <c r="CK226" s="134"/>
    </row>
    <row r="227" ht="9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  <c r="AQ227" s="134"/>
      <c r="AR227" s="134"/>
      <c r="AS227" s="134"/>
      <c r="AT227" s="134"/>
      <c r="AU227" s="134"/>
      <c r="AV227" s="134"/>
      <c r="AW227" s="134"/>
      <c r="AX227" s="134"/>
      <c r="AY227" s="134"/>
      <c r="AZ227" s="134"/>
      <c r="BA227" s="134"/>
      <c r="BB227" s="134"/>
      <c r="BC227" s="134"/>
      <c r="BD227" s="134"/>
      <c r="BE227" s="134"/>
      <c r="BF227" s="134"/>
      <c r="BG227" s="134"/>
      <c r="BH227" s="134"/>
      <c r="BI227" s="134"/>
      <c r="BJ227" s="134"/>
      <c r="BK227" s="134"/>
      <c r="BL227" s="134"/>
      <c r="BM227" s="134"/>
      <c r="BN227" s="134"/>
      <c r="BO227" s="134"/>
      <c r="BP227" s="134"/>
      <c r="BQ227" s="134"/>
      <c r="BR227" s="134"/>
      <c r="BS227" s="134"/>
      <c r="BT227" s="134"/>
      <c r="BU227" s="134"/>
      <c r="BV227" s="134"/>
      <c r="BW227" s="134"/>
      <c r="BX227" s="134"/>
      <c r="BY227" s="134"/>
      <c r="BZ227" s="134"/>
      <c r="CA227" s="134"/>
      <c r="CB227" s="134"/>
      <c r="CC227" s="134"/>
      <c r="CD227" s="134"/>
      <c r="CE227" s="134"/>
      <c r="CF227" s="134"/>
      <c r="CG227" s="134"/>
      <c r="CH227" s="134"/>
      <c r="CI227" s="134"/>
      <c r="CJ227" s="134"/>
      <c r="CK227" s="134"/>
    </row>
    <row r="228" ht="9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34"/>
      <c r="AQ228" s="134"/>
      <c r="AR228" s="134"/>
      <c r="AS228" s="134"/>
      <c r="AT228" s="134"/>
      <c r="AU228" s="134"/>
      <c r="AV228" s="134"/>
      <c r="AW228" s="134"/>
      <c r="AX228" s="134"/>
      <c r="AY228" s="134"/>
      <c r="AZ228" s="134"/>
      <c r="BA228" s="134"/>
      <c r="BB228" s="134"/>
      <c r="BC228" s="134"/>
      <c r="BD228" s="134"/>
      <c r="BE228" s="134"/>
      <c r="BF228" s="134"/>
      <c r="BG228" s="134"/>
      <c r="BH228" s="134"/>
      <c r="BI228" s="134"/>
      <c r="BJ228" s="134"/>
      <c r="BK228" s="134"/>
      <c r="BL228" s="134"/>
      <c r="BM228" s="134"/>
      <c r="BN228" s="134"/>
      <c r="BO228" s="134"/>
      <c r="BP228" s="134"/>
      <c r="BQ228" s="134"/>
      <c r="BR228" s="134"/>
      <c r="BS228" s="134"/>
      <c r="BT228" s="134"/>
      <c r="BU228" s="134"/>
      <c r="BV228" s="134"/>
      <c r="BW228" s="134"/>
      <c r="BX228" s="134"/>
      <c r="BY228" s="134"/>
      <c r="BZ228" s="134"/>
      <c r="CA228" s="134"/>
      <c r="CB228" s="134"/>
      <c r="CC228" s="134"/>
      <c r="CD228" s="134"/>
      <c r="CE228" s="134"/>
      <c r="CF228" s="134"/>
      <c r="CG228" s="134"/>
      <c r="CH228" s="134"/>
      <c r="CI228" s="134"/>
      <c r="CJ228" s="134"/>
      <c r="CK228" s="134"/>
    </row>
    <row r="229" ht="9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34"/>
      <c r="AQ229" s="134"/>
      <c r="AR229" s="134"/>
      <c r="AS229" s="134"/>
      <c r="AT229" s="134"/>
      <c r="AU229" s="134"/>
      <c r="AV229" s="134"/>
      <c r="AW229" s="134"/>
      <c r="AX229" s="134"/>
      <c r="AY229" s="134"/>
      <c r="AZ229" s="134"/>
      <c r="BA229" s="134"/>
      <c r="BB229" s="134"/>
      <c r="BC229" s="134"/>
      <c r="BD229" s="134"/>
      <c r="BE229" s="134"/>
      <c r="BF229" s="134"/>
      <c r="BG229" s="134"/>
      <c r="BH229" s="134"/>
      <c r="BI229" s="134"/>
      <c r="BJ229" s="134"/>
      <c r="BK229" s="134"/>
      <c r="BL229" s="134"/>
      <c r="BM229" s="134"/>
      <c r="BN229" s="134"/>
      <c r="BO229" s="134"/>
      <c r="BP229" s="134"/>
      <c r="BQ229" s="134"/>
      <c r="BR229" s="134"/>
      <c r="BS229" s="134"/>
      <c r="BT229" s="134"/>
      <c r="BU229" s="134"/>
      <c r="BV229" s="134"/>
      <c r="BW229" s="134"/>
      <c r="BX229" s="134"/>
      <c r="BY229" s="134"/>
      <c r="BZ229" s="134"/>
      <c r="CA229" s="134"/>
      <c r="CB229" s="134"/>
      <c r="CC229" s="134"/>
      <c r="CD229" s="134"/>
      <c r="CE229" s="134"/>
      <c r="CF229" s="134"/>
      <c r="CG229" s="134"/>
      <c r="CH229" s="134"/>
      <c r="CI229" s="134"/>
      <c r="CJ229" s="134"/>
      <c r="CK229" s="134"/>
    </row>
    <row r="230" ht="9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34"/>
      <c r="AQ230" s="134"/>
      <c r="AR230" s="134"/>
      <c r="AS230" s="134"/>
      <c r="AT230" s="134"/>
      <c r="AU230" s="134"/>
      <c r="AV230" s="134"/>
      <c r="AW230" s="134"/>
      <c r="AX230" s="134"/>
      <c r="AY230" s="134"/>
      <c r="AZ230" s="134"/>
      <c r="BA230" s="134"/>
      <c r="BB230" s="134"/>
      <c r="BC230" s="134"/>
      <c r="BD230" s="134"/>
      <c r="BE230" s="134"/>
      <c r="BF230" s="134"/>
      <c r="BG230" s="134"/>
      <c r="BH230" s="134"/>
      <c r="BI230" s="134"/>
      <c r="BJ230" s="134"/>
      <c r="BK230" s="134"/>
      <c r="BL230" s="134"/>
      <c r="BM230" s="134"/>
      <c r="BN230" s="134"/>
      <c r="BO230" s="134"/>
      <c r="BP230" s="134"/>
      <c r="BQ230" s="134"/>
      <c r="BR230" s="134"/>
      <c r="BS230" s="134"/>
      <c r="BT230" s="134"/>
      <c r="BU230" s="134"/>
      <c r="BV230" s="134"/>
      <c r="BW230" s="134"/>
      <c r="BX230" s="134"/>
      <c r="BY230" s="134"/>
      <c r="BZ230" s="134"/>
      <c r="CA230" s="134"/>
      <c r="CB230" s="134"/>
      <c r="CC230" s="134"/>
      <c r="CD230" s="134"/>
      <c r="CE230" s="134"/>
      <c r="CF230" s="134"/>
      <c r="CG230" s="134"/>
      <c r="CH230" s="134"/>
      <c r="CI230" s="134"/>
      <c r="CJ230" s="134"/>
      <c r="CK230" s="134"/>
    </row>
    <row r="231" ht="9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  <c r="AO231" s="134"/>
      <c r="AP231" s="134"/>
      <c r="AQ231" s="134"/>
      <c r="AR231" s="134"/>
      <c r="AS231" s="134"/>
      <c r="AT231" s="134"/>
      <c r="AU231" s="134"/>
      <c r="AV231" s="134"/>
      <c r="AW231" s="134"/>
      <c r="AX231" s="134"/>
      <c r="AY231" s="134"/>
      <c r="AZ231" s="134"/>
      <c r="BA231" s="134"/>
      <c r="BB231" s="134"/>
      <c r="BC231" s="134"/>
      <c r="BD231" s="134"/>
      <c r="BE231" s="134"/>
      <c r="BF231" s="134"/>
      <c r="BG231" s="134"/>
      <c r="BH231" s="134"/>
      <c r="BI231" s="134"/>
      <c r="BJ231" s="134"/>
      <c r="BK231" s="134"/>
      <c r="BL231" s="134"/>
      <c r="BM231" s="134"/>
      <c r="BN231" s="134"/>
      <c r="BO231" s="134"/>
      <c r="BP231" s="134"/>
      <c r="BQ231" s="134"/>
      <c r="BR231" s="134"/>
      <c r="BS231" s="134"/>
      <c r="BT231" s="134"/>
      <c r="BU231" s="134"/>
      <c r="BV231" s="134"/>
      <c r="BW231" s="134"/>
      <c r="BX231" s="134"/>
      <c r="BY231" s="134"/>
      <c r="BZ231" s="134"/>
      <c r="CA231" s="134"/>
      <c r="CB231" s="134"/>
      <c r="CC231" s="134"/>
      <c r="CD231" s="134"/>
      <c r="CE231" s="134"/>
      <c r="CF231" s="134"/>
      <c r="CG231" s="134"/>
      <c r="CH231" s="134"/>
      <c r="CI231" s="134"/>
      <c r="CJ231" s="134"/>
      <c r="CK231" s="134"/>
    </row>
    <row r="232" ht="9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34"/>
      <c r="AQ232" s="134"/>
      <c r="AR232" s="134"/>
      <c r="AS232" s="134"/>
      <c r="AT232" s="134"/>
      <c r="AU232" s="134"/>
      <c r="AV232" s="134"/>
      <c r="AW232" s="134"/>
      <c r="AX232" s="134"/>
      <c r="AY232" s="134"/>
      <c r="AZ232" s="134"/>
      <c r="BA232" s="134"/>
      <c r="BB232" s="134"/>
      <c r="BC232" s="134"/>
      <c r="BD232" s="134"/>
      <c r="BE232" s="134"/>
      <c r="BF232" s="134"/>
      <c r="BG232" s="134"/>
      <c r="BH232" s="134"/>
      <c r="BI232" s="134"/>
      <c r="BJ232" s="134"/>
      <c r="BK232" s="134"/>
      <c r="BL232" s="134"/>
      <c r="BM232" s="134"/>
      <c r="BN232" s="134"/>
      <c r="BO232" s="134"/>
      <c r="BP232" s="134"/>
      <c r="BQ232" s="134"/>
      <c r="BR232" s="134"/>
      <c r="BS232" s="134"/>
      <c r="BT232" s="134"/>
      <c r="BU232" s="134"/>
      <c r="BV232" s="134"/>
      <c r="BW232" s="134"/>
      <c r="BX232" s="134"/>
      <c r="BY232" s="134"/>
      <c r="BZ232" s="134"/>
      <c r="CA232" s="134"/>
      <c r="CB232" s="134"/>
      <c r="CC232" s="134"/>
      <c r="CD232" s="134"/>
      <c r="CE232" s="134"/>
      <c r="CF232" s="134"/>
      <c r="CG232" s="134"/>
      <c r="CH232" s="134"/>
      <c r="CI232" s="134"/>
      <c r="CJ232" s="134"/>
      <c r="CK232" s="134"/>
    </row>
    <row r="233" ht="9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34"/>
      <c r="AQ233" s="134"/>
      <c r="AR233" s="134"/>
      <c r="AS233" s="134"/>
      <c r="AT233" s="134"/>
      <c r="AU233" s="134"/>
      <c r="AV233" s="134"/>
      <c r="AW233" s="134"/>
      <c r="AX233" s="134"/>
      <c r="AY233" s="134"/>
      <c r="AZ233" s="134"/>
      <c r="BA233" s="134"/>
      <c r="BB233" s="134"/>
      <c r="BC233" s="134"/>
      <c r="BD233" s="134"/>
      <c r="BE233" s="134"/>
      <c r="BF233" s="134"/>
      <c r="BG233" s="134"/>
      <c r="BH233" s="134"/>
      <c r="BI233" s="134"/>
      <c r="BJ233" s="134"/>
      <c r="BK233" s="134"/>
      <c r="BL233" s="134"/>
      <c r="BM233" s="134"/>
      <c r="BN233" s="134"/>
      <c r="BO233" s="134"/>
      <c r="BP233" s="134"/>
      <c r="BQ233" s="134"/>
      <c r="BR233" s="134"/>
      <c r="BS233" s="134"/>
      <c r="BT233" s="134"/>
      <c r="BU233" s="134"/>
      <c r="BV233" s="134"/>
      <c r="BW233" s="134"/>
      <c r="BX233" s="134"/>
      <c r="BY233" s="134"/>
      <c r="BZ233" s="134"/>
      <c r="CA233" s="134"/>
      <c r="CB233" s="134"/>
      <c r="CC233" s="134"/>
      <c r="CD233" s="134"/>
      <c r="CE233" s="134"/>
      <c r="CF233" s="134"/>
      <c r="CG233" s="134"/>
      <c r="CH233" s="134"/>
      <c r="CI233" s="134"/>
      <c r="CJ233" s="134"/>
      <c r="CK233" s="134"/>
    </row>
    <row r="234" ht="9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34"/>
      <c r="AQ234" s="134"/>
      <c r="AR234" s="134"/>
      <c r="AS234" s="134"/>
      <c r="AT234" s="134"/>
      <c r="AU234" s="134"/>
      <c r="AV234" s="134"/>
      <c r="AW234" s="134"/>
      <c r="AX234" s="134"/>
      <c r="AY234" s="134"/>
      <c r="AZ234" s="134"/>
      <c r="BA234" s="134"/>
      <c r="BB234" s="134"/>
      <c r="BC234" s="134"/>
      <c r="BD234" s="134"/>
      <c r="BE234" s="134"/>
      <c r="BF234" s="134"/>
      <c r="BG234" s="134"/>
      <c r="BH234" s="134"/>
      <c r="BI234" s="134"/>
      <c r="BJ234" s="134"/>
      <c r="BK234" s="134"/>
      <c r="BL234" s="134"/>
      <c r="BM234" s="134"/>
      <c r="BN234" s="134"/>
      <c r="BO234" s="134"/>
      <c r="BP234" s="134"/>
      <c r="BQ234" s="134"/>
      <c r="BR234" s="134"/>
      <c r="BS234" s="134"/>
      <c r="BT234" s="134"/>
      <c r="BU234" s="134"/>
      <c r="BV234" s="134"/>
      <c r="BW234" s="134"/>
      <c r="BX234" s="134"/>
      <c r="BY234" s="134"/>
      <c r="BZ234" s="134"/>
      <c r="CA234" s="134"/>
      <c r="CB234" s="134"/>
      <c r="CC234" s="134"/>
      <c r="CD234" s="134"/>
      <c r="CE234" s="134"/>
      <c r="CF234" s="134"/>
      <c r="CG234" s="134"/>
      <c r="CH234" s="134"/>
      <c r="CI234" s="134"/>
      <c r="CJ234" s="134"/>
      <c r="CK234" s="134"/>
    </row>
    <row r="235" ht="9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  <c r="AO235" s="134"/>
      <c r="AP235" s="134"/>
      <c r="AQ235" s="134"/>
      <c r="AR235" s="134"/>
      <c r="AS235" s="134"/>
      <c r="AT235" s="134"/>
      <c r="AU235" s="134"/>
      <c r="AV235" s="134"/>
      <c r="AW235" s="134"/>
      <c r="AX235" s="134"/>
      <c r="AY235" s="134"/>
      <c r="AZ235" s="134"/>
      <c r="BA235" s="134"/>
      <c r="BB235" s="134"/>
      <c r="BC235" s="134"/>
      <c r="BD235" s="134"/>
      <c r="BE235" s="134"/>
      <c r="BF235" s="134"/>
      <c r="BG235" s="134"/>
      <c r="BH235" s="134"/>
      <c r="BI235" s="134"/>
      <c r="BJ235" s="134"/>
      <c r="BK235" s="134"/>
      <c r="BL235" s="134"/>
      <c r="BM235" s="134"/>
      <c r="BN235" s="134"/>
      <c r="BO235" s="134"/>
      <c r="BP235" s="134"/>
      <c r="BQ235" s="134"/>
      <c r="BR235" s="134"/>
      <c r="BS235" s="134"/>
      <c r="BT235" s="134"/>
      <c r="BU235" s="134"/>
      <c r="BV235" s="134"/>
      <c r="BW235" s="134"/>
      <c r="BX235" s="134"/>
      <c r="BY235" s="134"/>
      <c r="BZ235" s="134"/>
      <c r="CA235" s="134"/>
      <c r="CB235" s="134"/>
      <c r="CC235" s="134"/>
      <c r="CD235" s="134"/>
      <c r="CE235" s="134"/>
      <c r="CF235" s="134"/>
      <c r="CG235" s="134"/>
      <c r="CH235" s="134"/>
      <c r="CI235" s="134"/>
      <c r="CJ235" s="134"/>
      <c r="CK235" s="134"/>
    </row>
    <row r="236" ht="9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34"/>
      <c r="AQ236" s="134"/>
      <c r="AR236" s="134"/>
      <c r="AS236" s="134"/>
      <c r="AT236" s="134"/>
      <c r="AU236" s="134"/>
      <c r="AV236" s="134"/>
      <c r="AW236" s="134"/>
      <c r="AX236" s="134"/>
      <c r="AY236" s="134"/>
      <c r="AZ236" s="134"/>
      <c r="BA236" s="134"/>
      <c r="BB236" s="134"/>
      <c r="BC236" s="134"/>
      <c r="BD236" s="134"/>
      <c r="BE236" s="134"/>
      <c r="BF236" s="134"/>
      <c r="BG236" s="134"/>
      <c r="BH236" s="134"/>
      <c r="BI236" s="134"/>
      <c r="BJ236" s="134"/>
      <c r="BK236" s="134"/>
      <c r="BL236" s="134"/>
      <c r="BM236" s="134"/>
      <c r="BN236" s="134"/>
      <c r="BO236" s="134"/>
      <c r="BP236" s="134"/>
      <c r="BQ236" s="134"/>
      <c r="BR236" s="134"/>
      <c r="BS236" s="134"/>
      <c r="BT236" s="134"/>
      <c r="BU236" s="134"/>
      <c r="BV236" s="134"/>
      <c r="BW236" s="134"/>
      <c r="BX236" s="134"/>
      <c r="BY236" s="134"/>
      <c r="BZ236" s="134"/>
      <c r="CA236" s="134"/>
      <c r="CB236" s="134"/>
      <c r="CC236" s="134"/>
      <c r="CD236" s="134"/>
      <c r="CE236" s="134"/>
      <c r="CF236" s="134"/>
      <c r="CG236" s="134"/>
      <c r="CH236" s="134"/>
      <c r="CI236" s="134"/>
      <c r="CJ236" s="134"/>
      <c r="CK236" s="134"/>
    </row>
    <row r="237" ht="9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  <c r="BT237" s="134"/>
      <c r="BU237" s="134"/>
      <c r="BV237" s="134"/>
      <c r="BW237" s="134"/>
      <c r="BX237" s="134"/>
      <c r="BY237" s="134"/>
      <c r="BZ237" s="134"/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4"/>
      <c r="CK237" s="134"/>
    </row>
    <row r="238" ht="9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  <c r="BT238" s="134"/>
      <c r="BU238" s="134"/>
      <c r="BV238" s="134"/>
      <c r="BW238" s="134"/>
      <c r="BX238" s="134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4"/>
      <c r="CK238" s="134"/>
    </row>
    <row r="239" ht="9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  <c r="AO239" s="134"/>
      <c r="AP239" s="134"/>
      <c r="AQ239" s="134"/>
      <c r="AR239" s="134"/>
      <c r="AS239" s="134"/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134"/>
      <c r="BO239" s="134"/>
      <c r="BP239" s="134"/>
      <c r="BQ239" s="134"/>
      <c r="BR239" s="134"/>
      <c r="BS239" s="134"/>
      <c r="BT239" s="134"/>
      <c r="BU239" s="134"/>
      <c r="BV239" s="134"/>
      <c r="BW239" s="134"/>
      <c r="BX239" s="134"/>
      <c r="BY239" s="134"/>
      <c r="BZ239" s="134"/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4"/>
      <c r="CK239" s="134"/>
    </row>
    <row r="240" ht="9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  <c r="AO240" s="134"/>
      <c r="AP240" s="134"/>
      <c r="AQ240" s="134"/>
      <c r="AR240" s="134"/>
      <c r="AS240" s="134"/>
      <c r="AT240" s="134"/>
      <c r="AU240" s="134"/>
      <c r="AV240" s="134"/>
      <c r="AW240" s="134"/>
      <c r="AX240" s="134"/>
      <c r="AY240" s="134"/>
      <c r="AZ240" s="134"/>
      <c r="BA240" s="134"/>
      <c r="BB240" s="134"/>
      <c r="BC240" s="134"/>
      <c r="BD240" s="134"/>
      <c r="BE240" s="134"/>
      <c r="BF240" s="134"/>
      <c r="BG240" s="134"/>
      <c r="BH240" s="134"/>
      <c r="BI240" s="134"/>
      <c r="BJ240" s="134"/>
      <c r="BK240" s="134"/>
      <c r="BL240" s="134"/>
      <c r="BM240" s="134"/>
      <c r="BN240" s="134"/>
      <c r="BO240" s="134"/>
      <c r="BP240" s="134"/>
      <c r="BQ240" s="134"/>
      <c r="BR240" s="134"/>
      <c r="BS240" s="134"/>
      <c r="BT240" s="134"/>
      <c r="BU240" s="134"/>
      <c r="BV240" s="134"/>
      <c r="BW240" s="134"/>
      <c r="BX240" s="134"/>
      <c r="BY240" s="134"/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4"/>
      <c r="CK240" s="134"/>
    </row>
    <row r="241" ht="9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  <c r="AO241" s="134"/>
      <c r="AP241" s="134"/>
      <c r="AQ241" s="134"/>
      <c r="AR241" s="134"/>
      <c r="AS241" s="134"/>
      <c r="AT241" s="134"/>
      <c r="AU241" s="134"/>
      <c r="AV241" s="134"/>
      <c r="AW241" s="134"/>
      <c r="AX241" s="134"/>
      <c r="AY241" s="134"/>
      <c r="AZ241" s="134"/>
      <c r="BA241" s="134"/>
      <c r="BB241" s="134"/>
      <c r="BC241" s="134"/>
      <c r="BD241" s="134"/>
      <c r="BE241" s="134"/>
      <c r="BF241" s="134"/>
      <c r="BG241" s="134"/>
      <c r="BH241" s="134"/>
      <c r="BI241" s="134"/>
      <c r="BJ241" s="134"/>
      <c r="BK241" s="134"/>
      <c r="BL241" s="134"/>
      <c r="BM241" s="134"/>
      <c r="BN241" s="134"/>
      <c r="BO241" s="134"/>
      <c r="BP241" s="134"/>
      <c r="BQ241" s="134"/>
      <c r="BR241" s="134"/>
      <c r="BS241" s="134"/>
      <c r="BT241" s="134"/>
      <c r="BU241" s="134"/>
      <c r="BV241" s="134"/>
      <c r="BW241" s="134"/>
      <c r="BX241" s="134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4"/>
      <c r="CK241" s="134"/>
    </row>
    <row r="242" ht="9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  <c r="AO242" s="134"/>
      <c r="AP242" s="134"/>
      <c r="AQ242" s="134"/>
      <c r="AR242" s="134"/>
      <c r="AS242" s="134"/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4"/>
      <c r="CF242" s="134"/>
      <c r="CG242" s="134"/>
      <c r="CH242" s="134"/>
      <c r="CI242" s="134"/>
      <c r="CJ242" s="134"/>
      <c r="CK242" s="134"/>
    </row>
    <row r="243" ht="9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  <c r="AO243" s="134"/>
      <c r="AP243" s="134"/>
      <c r="AQ243" s="134"/>
      <c r="AR243" s="134"/>
      <c r="AS243" s="134"/>
      <c r="AT243" s="134"/>
      <c r="AU243" s="134"/>
      <c r="AV243" s="134"/>
      <c r="AW243" s="134"/>
      <c r="AX243" s="134"/>
      <c r="AY243" s="134"/>
      <c r="AZ243" s="134"/>
      <c r="BA243" s="134"/>
      <c r="BB243" s="134"/>
      <c r="BC243" s="134"/>
      <c r="BD243" s="134"/>
      <c r="BE243" s="134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  <c r="BS243" s="134"/>
      <c r="BT243" s="134"/>
      <c r="BU243" s="134"/>
      <c r="BV243" s="134"/>
      <c r="BW243" s="134"/>
      <c r="BX243" s="134"/>
      <c r="BY243" s="134"/>
      <c r="BZ243" s="134"/>
      <c r="CA243" s="134"/>
      <c r="CB243" s="134"/>
      <c r="CC243" s="134"/>
      <c r="CD243" s="134"/>
      <c r="CE243" s="134"/>
      <c r="CF243" s="134"/>
      <c r="CG243" s="134"/>
      <c r="CH243" s="134"/>
      <c r="CI243" s="134"/>
      <c r="CJ243" s="134"/>
      <c r="CK243" s="134"/>
    </row>
    <row r="244" ht="9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  <c r="AO244" s="134"/>
      <c r="AP244" s="134"/>
      <c r="AQ244" s="134"/>
      <c r="AR244" s="134"/>
      <c r="AS244" s="134"/>
      <c r="AT244" s="134"/>
      <c r="AU244" s="134"/>
      <c r="AV244" s="134"/>
      <c r="AW244" s="134"/>
      <c r="AX244" s="134"/>
      <c r="AY244" s="134"/>
      <c r="AZ244" s="134"/>
      <c r="BA244" s="134"/>
      <c r="BB244" s="134"/>
      <c r="BC244" s="134"/>
      <c r="BD244" s="134"/>
      <c r="BE244" s="134"/>
      <c r="BF244" s="134"/>
      <c r="BG244" s="134"/>
      <c r="BH244" s="134"/>
      <c r="BI244" s="134"/>
      <c r="BJ244" s="134"/>
      <c r="BK244" s="134"/>
      <c r="BL244" s="134"/>
      <c r="BM244" s="134"/>
      <c r="BN244" s="134"/>
      <c r="BO244" s="134"/>
      <c r="BP244" s="134"/>
      <c r="BQ244" s="134"/>
      <c r="BR244" s="134"/>
      <c r="BS244" s="134"/>
      <c r="BT244" s="134"/>
      <c r="BU244" s="134"/>
      <c r="BV244" s="134"/>
      <c r="BW244" s="134"/>
      <c r="BX244" s="134"/>
      <c r="BY244" s="134"/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4"/>
      <c r="CK244" s="134"/>
    </row>
    <row r="245" ht="9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  <c r="BE245" s="134"/>
      <c r="BF245" s="134"/>
      <c r="BG245" s="134"/>
      <c r="BH245" s="134"/>
      <c r="BI245" s="134"/>
      <c r="BJ245" s="134"/>
      <c r="BK245" s="134"/>
      <c r="BL245" s="134"/>
      <c r="BM245" s="134"/>
      <c r="BN245" s="134"/>
      <c r="BO245" s="134"/>
      <c r="BP245" s="134"/>
      <c r="BQ245" s="134"/>
      <c r="BR245" s="134"/>
      <c r="BS245" s="134"/>
      <c r="BT245" s="134"/>
      <c r="BU245" s="134"/>
      <c r="BV245" s="134"/>
      <c r="BW245" s="134"/>
      <c r="BX245" s="134"/>
      <c r="BY245" s="134"/>
      <c r="BZ245" s="134"/>
      <c r="CA245" s="134"/>
      <c r="CB245" s="134"/>
      <c r="CC245" s="134"/>
      <c r="CD245" s="134"/>
      <c r="CE245" s="134"/>
      <c r="CF245" s="134"/>
      <c r="CG245" s="134"/>
      <c r="CH245" s="134"/>
      <c r="CI245" s="134"/>
      <c r="CJ245" s="134"/>
      <c r="CK245" s="134"/>
    </row>
    <row r="246" ht="9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  <c r="BE246" s="134"/>
      <c r="BF246" s="134"/>
      <c r="BG246" s="134"/>
      <c r="BH246" s="134"/>
      <c r="BI246" s="134"/>
      <c r="BJ246" s="134"/>
      <c r="BK246" s="134"/>
      <c r="BL246" s="134"/>
      <c r="BM246" s="134"/>
      <c r="BN246" s="134"/>
      <c r="BO246" s="134"/>
      <c r="BP246" s="134"/>
      <c r="BQ246" s="134"/>
      <c r="BR246" s="134"/>
      <c r="BS246" s="134"/>
      <c r="BT246" s="134"/>
      <c r="BU246" s="134"/>
      <c r="BV246" s="134"/>
      <c r="BW246" s="134"/>
      <c r="BX246" s="134"/>
      <c r="BY246" s="134"/>
      <c r="BZ246" s="134"/>
      <c r="CA246" s="134"/>
      <c r="CB246" s="134"/>
      <c r="CC246" s="134"/>
      <c r="CD246" s="134"/>
      <c r="CE246" s="134"/>
      <c r="CF246" s="134"/>
      <c r="CG246" s="134"/>
      <c r="CH246" s="134"/>
      <c r="CI246" s="134"/>
      <c r="CJ246" s="134"/>
      <c r="CK246" s="134"/>
    </row>
    <row r="247" ht="9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4"/>
      <c r="AQ247" s="134"/>
      <c r="AR247" s="134"/>
      <c r="AS247" s="134"/>
      <c r="AT247" s="134"/>
      <c r="AU247" s="134"/>
      <c r="AV247" s="134"/>
      <c r="AW247" s="134"/>
      <c r="AX247" s="134"/>
      <c r="AY247" s="134"/>
      <c r="AZ247" s="134"/>
      <c r="BA247" s="134"/>
      <c r="BB247" s="134"/>
      <c r="BC247" s="134"/>
      <c r="BD247" s="134"/>
      <c r="BE247" s="134"/>
      <c r="BF247" s="134"/>
      <c r="BG247" s="134"/>
      <c r="BH247" s="134"/>
      <c r="BI247" s="134"/>
      <c r="BJ247" s="134"/>
      <c r="BK247" s="134"/>
      <c r="BL247" s="134"/>
      <c r="BM247" s="134"/>
      <c r="BN247" s="134"/>
      <c r="BO247" s="134"/>
      <c r="BP247" s="134"/>
      <c r="BQ247" s="134"/>
      <c r="BR247" s="134"/>
      <c r="BS247" s="134"/>
      <c r="BT247" s="134"/>
      <c r="BU247" s="134"/>
      <c r="BV247" s="134"/>
      <c r="BW247" s="134"/>
      <c r="BX247" s="134"/>
      <c r="BY247" s="134"/>
      <c r="BZ247" s="134"/>
      <c r="CA247" s="134"/>
      <c r="CB247" s="134"/>
      <c r="CC247" s="134"/>
      <c r="CD247" s="134"/>
      <c r="CE247" s="134"/>
      <c r="CF247" s="134"/>
      <c r="CG247" s="134"/>
      <c r="CH247" s="134"/>
      <c r="CI247" s="134"/>
      <c r="CJ247" s="134"/>
      <c r="CK247" s="134"/>
    </row>
    <row r="248" ht="9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4"/>
      <c r="AQ248" s="134"/>
      <c r="AR248" s="134"/>
      <c r="AS248" s="134"/>
      <c r="AT248" s="134"/>
      <c r="AU248" s="134"/>
      <c r="AV248" s="134"/>
      <c r="AW248" s="134"/>
      <c r="AX248" s="134"/>
      <c r="AY248" s="134"/>
      <c r="AZ248" s="134"/>
      <c r="BA248" s="134"/>
      <c r="BB248" s="134"/>
      <c r="BC248" s="134"/>
      <c r="BD248" s="134"/>
      <c r="BE248" s="134"/>
      <c r="BF248" s="134"/>
      <c r="BG248" s="134"/>
      <c r="BH248" s="134"/>
      <c r="BI248" s="134"/>
      <c r="BJ248" s="134"/>
      <c r="BK248" s="134"/>
      <c r="BL248" s="134"/>
      <c r="BM248" s="134"/>
      <c r="BN248" s="134"/>
      <c r="BO248" s="134"/>
      <c r="BP248" s="134"/>
      <c r="BQ248" s="134"/>
      <c r="BR248" s="134"/>
      <c r="BS248" s="134"/>
      <c r="BT248" s="134"/>
      <c r="BU248" s="134"/>
      <c r="BV248" s="134"/>
      <c r="BW248" s="134"/>
      <c r="BX248" s="134"/>
      <c r="BY248" s="134"/>
      <c r="BZ248" s="134"/>
      <c r="CA248" s="134"/>
      <c r="CB248" s="134"/>
      <c r="CC248" s="134"/>
      <c r="CD248" s="134"/>
      <c r="CE248" s="134"/>
      <c r="CF248" s="134"/>
      <c r="CG248" s="134"/>
      <c r="CH248" s="134"/>
      <c r="CI248" s="134"/>
      <c r="CJ248" s="134"/>
      <c r="CK248" s="134"/>
    </row>
    <row r="249" ht="9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4"/>
      <c r="AQ249" s="134"/>
      <c r="AR249" s="134"/>
      <c r="AS249" s="134"/>
      <c r="AT249" s="134"/>
      <c r="AU249" s="134"/>
      <c r="AV249" s="134"/>
      <c r="AW249" s="134"/>
      <c r="AX249" s="134"/>
      <c r="AY249" s="134"/>
      <c r="AZ249" s="134"/>
      <c r="BA249" s="134"/>
      <c r="BB249" s="134"/>
      <c r="BC249" s="134"/>
      <c r="BD249" s="134"/>
      <c r="BE249" s="134"/>
      <c r="BF249" s="134"/>
      <c r="BG249" s="134"/>
      <c r="BH249" s="134"/>
      <c r="BI249" s="134"/>
      <c r="BJ249" s="134"/>
      <c r="BK249" s="134"/>
      <c r="BL249" s="134"/>
      <c r="BM249" s="134"/>
      <c r="BN249" s="134"/>
      <c r="BO249" s="134"/>
      <c r="BP249" s="134"/>
      <c r="BQ249" s="134"/>
      <c r="BR249" s="134"/>
      <c r="BS249" s="134"/>
      <c r="BT249" s="134"/>
      <c r="BU249" s="134"/>
      <c r="BV249" s="134"/>
      <c r="BW249" s="134"/>
      <c r="BX249" s="134"/>
      <c r="BY249" s="134"/>
      <c r="BZ249" s="134"/>
      <c r="CA249" s="134"/>
      <c r="CB249" s="134"/>
      <c r="CC249" s="134"/>
      <c r="CD249" s="134"/>
      <c r="CE249" s="134"/>
      <c r="CF249" s="134"/>
      <c r="CG249" s="134"/>
      <c r="CH249" s="134"/>
      <c r="CI249" s="134"/>
      <c r="CJ249" s="134"/>
      <c r="CK249" s="134"/>
    </row>
    <row r="250" ht="9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</row>
    <row r="251" ht="9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4"/>
      <c r="AQ251" s="134"/>
      <c r="AR251" s="134"/>
      <c r="AS251" s="134"/>
      <c r="AT251" s="134"/>
      <c r="AU251" s="134"/>
      <c r="AV251" s="134"/>
      <c r="AW251" s="134"/>
      <c r="AX251" s="134"/>
      <c r="AY251" s="134"/>
      <c r="AZ251" s="134"/>
      <c r="BA251" s="134"/>
      <c r="BB251" s="134"/>
      <c r="BC251" s="134"/>
      <c r="BD251" s="134"/>
      <c r="BE251" s="134"/>
      <c r="BF251" s="134"/>
      <c r="BG251" s="134"/>
      <c r="BH251" s="134"/>
      <c r="BI251" s="134"/>
      <c r="BJ251" s="134"/>
      <c r="BK251" s="134"/>
      <c r="BL251" s="134"/>
      <c r="BM251" s="134"/>
      <c r="BN251" s="134"/>
      <c r="BO251" s="134"/>
      <c r="BP251" s="134"/>
      <c r="BQ251" s="134"/>
      <c r="BR251" s="134"/>
      <c r="BS251" s="134"/>
      <c r="BT251" s="134"/>
      <c r="BU251" s="134"/>
      <c r="BV251" s="134"/>
      <c r="BW251" s="134"/>
      <c r="BX251" s="134"/>
      <c r="BY251" s="134"/>
      <c r="BZ251" s="134"/>
      <c r="CA251" s="134"/>
      <c r="CB251" s="134"/>
      <c r="CC251" s="134"/>
      <c r="CD251" s="134"/>
      <c r="CE251" s="134"/>
      <c r="CF251" s="134"/>
      <c r="CG251" s="134"/>
      <c r="CH251" s="134"/>
      <c r="CI251" s="134"/>
      <c r="CJ251" s="134"/>
      <c r="CK251" s="13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